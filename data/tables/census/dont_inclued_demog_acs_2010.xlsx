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filterPrivacy="1"/>
  <xr:revisionPtr revIDLastSave="0" documentId="13_ncr:1_{CEB71AB6-B244-E14F-9BF9-3E8BBB7E67EA}" xr6:coauthVersionLast="47" xr6:coauthVersionMax="47" xr10:uidLastSave="{00000000-0000-0000-0000-000000000000}"/>
  <bookViews>
    <workbookView xWindow="0" yWindow="600" windowWidth="38400" windowHeight="19200" activeTab="1" xr2:uid="{00000000-000D-0000-FFFF-FFFF00000000}"/>
  </bookViews>
  <sheets>
    <sheet name="Information" sheetId="1" r:id="rId1"/>
    <sheet name="Data" sheetId="2" r:id="rId2"/>
  </sheets>
  <definedNames>
    <definedName name="_xlnm.Print_Titles" localSheetId="1">Data!$A:$A,Data!$1:$3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 i="2" l="1"/>
  <c r="Q8" i="2"/>
  <c r="Q7" i="2"/>
  <c r="Q6" i="2"/>
  <c r="Q5" i="2"/>
  <c r="P9" i="2"/>
  <c r="P13" i="2"/>
  <c r="P7" i="2"/>
  <c r="P8" i="2"/>
  <c r="P5" i="2"/>
</calcChain>
</file>

<file path=xl/sharedStrings.xml><?xml version="1.0" encoding="utf-8"?>
<sst xmlns="http://schemas.openxmlformats.org/spreadsheetml/2006/main" count="737" uniqueCount="377">
  <si>
    <t>SELECTED SOCIAL CHARACTERISTICS IN THE UNITED STATES</t>
  </si>
  <si>
    <t>Note: The table shown may have been modified by user selections. Some information may be missing.</t>
  </si>
  <si>
    <t>DATA NOTES</t>
  </si>
  <si>
    <t/>
  </si>
  <si>
    <t>TABLE ID:</t>
  </si>
  <si>
    <t>DP02</t>
  </si>
  <si>
    <t>SURVEY/PROGRAM:</t>
  </si>
  <si>
    <t>American Community Survey</t>
  </si>
  <si>
    <t>VINTAGE:</t>
  </si>
  <si>
    <t>2010</t>
  </si>
  <si>
    <t>DATASET:</t>
  </si>
  <si>
    <t>ACSDP5YSPT2010</t>
  </si>
  <si>
    <t>PRODUCT:</t>
  </si>
  <si>
    <t>ACS 5-Year Estimates Selected Population Data Profiles</t>
  </si>
  <si>
    <t>UNIVERSE:</t>
  </si>
  <si>
    <t>None</t>
  </si>
  <si>
    <t>MLA:</t>
  </si>
  <si>
    <t>U.S. Census Bureau. "SELECTED SOCIAL CHARACTERISTICS IN THE UNITED STATES." American Community Survey, ACS 5-Year Estimates Selected Population Data Profiles, Table DP02, https://data.census.gov/table/ACSDP5YSPT2010.DP02. Accessed on 13 Mar 2026.</t>
  </si>
  <si>
    <t>FTP URL:</t>
  </si>
  <si>
    <t>API URL:</t>
  </si>
  <si>
    <t>https://api.census.gov/data/2010/acs/acs5/sptprofile</t>
  </si>
  <si>
    <t>USER SELECTIONS</t>
  </si>
  <si>
    <t>EXCLUDED COLUMNS</t>
  </si>
  <si>
    <t>APPLIED FILTERS</t>
  </si>
  <si>
    <t>APPLIED SORTS</t>
  </si>
  <si>
    <t>PIVOT &amp; GROUPING</t>
  </si>
  <si>
    <t>PIVOT COLUMNS</t>
  </si>
  <si>
    <t>PIVOT MODE</t>
  </si>
  <si>
    <t>Off</t>
  </si>
  <si>
    <t>ROW GROUPS</t>
  </si>
  <si>
    <t>VALUE COLUMNS</t>
  </si>
  <si>
    <t>WEB ADDRESS</t>
  </si>
  <si>
    <t>https://data.census.gov/table/ACSDP5YSPT2010.DP02</t>
  </si>
  <si>
    <t>TABLE NOTES</t>
  </si>
  <si>
    <t>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</si>
  <si>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for 2010, the 2010 Census provides the official counts of the population and housing units for the nation, states, counties, cities and towns. For 2006 to 2009, the Population Estimates Program provides intercensal estimates of the population for the nation, states, and counties.</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</si>
  <si>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</si>
  <si>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2000 data. Boundaries for urban areas have not been updated since Census 2000. As a result, data for urban and rural areas from the ACS do not necessarily reflect the results of ongoing urbanization.</t>
  </si>
  <si>
    <t>While the 2006-2010 American Community Survey (ACS) data generally reflect the December 2009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</si>
  <si>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</si>
  <si>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2006-2010 American Community Survey</t>
  </si>
  <si>
    <t>COLUMN NOTES</t>
  </si>
  <si>
    <t>United States</t>
  </si>
  <si>
    <t>Total population</t>
  </si>
  <si>
    <t>Label</t>
  </si>
  <si>
    <t>Estimate</t>
  </si>
  <si>
    <t>Estimate Margin of Error</t>
  </si>
  <si>
    <t>Percent</t>
  </si>
  <si>
    <t>Percent Margin of Error</t>
  </si>
  <si>
    <t>HOUSEHOLDS BY TYPE</t>
  </si>
  <si>
    <t>Total households</t>
  </si>
  <si>
    <t>(X)</t>
  </si>
  <si>
    <t>Family households (families)</t>
  </si>
  <si>
    <t>66.8%</t>
  </si>
  <si>
    <t>±0.1</t>
  </si>
  <si>
    <t>With own children under 18 years</t>
  </si>
  <si>
    <t>30.6%</t>
  </si>
  <si>
    <t>Married-couple family</t>
  </si>
  <si>
    <t>49.6%</t>
  </si>
  <si>
    <t>±0.2</t>
  </si>
  <si>
    <t>21.1%</t>
  </si>
  <si>
    <t>4.6%</t>
  </si>
  <si>
    <t>2.2%</t>
  </si>
  <si>
    <t>12.6%</t>
  </si>
  <si>
    <t>7.3%</t>
  </si>
  <si>
    <t>Nonfamily households</t>
  </si>
  <si>
    <t>33.2%</t>
  </si>
  <si>
    <t>Householder living alone</t>
  </si>
  <si>
    <t>27.2%</t>
  </si>
  <si>
    <t>65 years and over</t>
  </si>
  <si>
    <t>9.3%</t>
  </si>
  <si>
    <t>Households with one or more people under 18 years</t>
  </si>
  <si>
    <t>33.9%</t>
  </si>
  <si>
    <t>Households with one or more people 65 years and over</t>
  </si>
  <si>
    <t>24.0%</t>
  </si>
  <si>
    <t>Average household size</t>
  </si>
  <si>
    <t>2.59</t>
  </si>
  <si>
    <t>±0.01</t>
  </si>
  <si>
    <t>Average family size</t>
  </si>
  <si>
    <t>3.17</t>
  </si>
  <si>
    <t>RELATIONSHIP</t>
  </si>
  <si>
    <t>Population in households</t>
  </si>
  <si>
    <t>Householder</t>
  </si>
  <si>
    <t>Spouse</t>
  </si>
  <si>
    <t>Child</t>
  </si>
  <si>
    <t>Other relatives</t>
  </si>
  <si>
    <t>Nonrelatives</t>
  </si>
  <si>
    <t>Unmarried partner</t>
  </si>
  <si>
    <t>MARITAL STATUS</t>
  </si>
  <si>
    <t>Males 15 years and over</t>
  </si>
  <si>
    <t>Never married</t>
  </si>
  <si>
    <t>34.2%</t>
  </si>
  <si>
    <t>52.2%</t>
  </si>
  <si>
    <t>Separated</t>
  </si>
  <si>
    <t>1.8%</t>
  </si>
  <si>
    <t>Widowed</t>
  </si>
  <si>
    <t>2.5%</t>
  </si>
  <si>
    <t>Divorced</t>
  </si>
  <si>
    <t>Females 15 years and over</t>
  </si>
  <si>
    <t>27.9%</t>
  </si>
  <si>
    <t>48.3%</t>
  </si>
  <si>
    <t>9.6%</t>
  </si>
  <si>
    <t>11.7%</t>
  </si>
  <si>
    <t>FERTILITY</t>
  </si>
  <si>
    <t>Number of women 15 to 50 years old who had a birth in the past 12 months</t>
  </si>
  <si>
    <t>34.0%</t>
  </si>
  <si>
    <t>±0.3</t>
  </si>
  <si>
    <t>37</t>
  </si>
  <si>
    <t>±1</t>
  </si>
  <si>
    <t>56</t>
  </si>
  <si>
    <t>28</t>
  </si>
  <si>
    <t>104</t>
  </si>
  <si>
    <t>24</t>
  </si>
  <si>
    <t>GRANDPARENTS</t>
  </si>
  <si>
    <t>Number of grandparents living with own grandchildren under 18 years</t>
  </si>
  <si>
    <t>Responsible for grandchildren</t>
  </si>
  <si>
    <t>41.0%</t>
  </si>
  <si>
    <t>Years responsible for grandchildren</t>
  </si>
  <si>
    <t>Less than 1 year</t>
  </si>
  <si>
    <t>1 or 2 years</t>
  </si>
  <si>
    <t>9.8%</t>
  </si>
  <si>
    <t>3 or 4 years</t>
  </si>
  <si>
    <t>6.8%</t>
  </si>
  <si>
    <t>5 or more years</t>
  </si>
  <si>
    <t>15.1%</t>
  </si>
  <si>
    <t>Number of grandparents responsible for own grandchildren under 18 years</t>
  </si>
  <si>
    <t>Who are female</t>
  </si>
  <si>
    <t>62.8%</t>
  </si>
  <si>
    <t>Who are married</t>
  </si>
  <si>
    <t>70.7%</t>
  </si>
  <si>
    <t>SCHOOL ENROLLMENT</t>
  </si>
  <si>
    <t>Population 3 years and over enrolled in school</t>
  </si>
  <si>
    <t>6.1%</t>
  </si>
  <si>
    <t>Kindergarten</t>
  </si>
  <si>
    <t>5.1%</t>
  </si>
  <si>
    <t>Elementary school (grades 1-8)</t>
  </si>
  <si>
    <t>40.3%</t>
  </si>
  <si>
    <t>High school (grades 9-12)</t>
  </si>
  <si>
    <t>21.7%</t>
  </si>
  <si>
    <t>College or graduate school</t>
  </si>
  <si>
    <t>26.9%</t>
  </si>
  <si>
    <t>EDUCATIONAL ATTAINMENT</t>
  </si>
  <si>
    <t>Population 25 years and over</t>
  </si>
  <si>
    <t>Less than 9th grade</t>
  </si>
  <si>
    <t>6.2%</t>
  </si>
  <si>
    <t>8.7%</t>
  </si>
  <si>
    <t>High school graduate (includes equivalency)</t>
  </si>
  <si>
    <t>29.0%</t>
  </si>
  <si>
    <t>20.6%</t>
  </si>
  <si>
    <t>Associate's degree</t>
  </si>
  <si>
    <t>7.5%</t>
  </si>
  <si>
    <t>Bachelor's degree</t>
  </si>
  <si>
    <t>17.6%</t>
  </si>
  <si>
    <t>Graduate or professional degree</t>
  </si>
  <si>
    <t>10.3%</t>
  </si>
  <si>
    <t>Percent high school graduate or higher</t>
  </si>
  <si>
    <t>85.0%</t>
  </si>
  <si>
    <t>Percent bachelor's degree or higher</t>
  </si>
  <si>
    <t>VETERAN STATUS</t>
  </si>
  <si>
    <t>Civilian population 18 years and over</t>
  </si>
  <si>
    <t>Civilian veterans</t>
  </si>
  <si>
    <t>9.9%</t>
  </si>
  <si>
    <t>DISABILITY STATUS OF THE CIVILIAN NONINSTITUTIONALIZED POPULATION</t>
  </si>
  <si>
    <t>Total Civilian Noninstitutionalized Population</t>
  </si>
  <si>
    <t>With a disability</t>
  </si>
  <si>
    <t>Under 18 years</t>
  </si>
  <si>
    <t>18 to 64 years</t>
  </si>
  <si>
    <t>RESIDENCE 1 YEAR AGO</t>
  </si>
  <si>
    <t>Population 1 year and over</t>
  </si>
  <si>
    <t>Same house</t>
  </si>
  <si>
    <t>84.2%</t>
  </si>
  <si>
    <t>Different house in the U.S.</t>
  </si>
  <si>
    <t>15.2%</t>
  </si>
  <si>
    <t>Same county</t>
  </si>
  <si>
    <t>9.4%</t>
  </si>
  <si>
    <t>Different county</t>
  </si>
  <si>
    <t>5.7%</t>
  </si>
  <si>
    <t>Same state</t>
  </si>
  <si>
    <t>3.3%</t>
  </si>
  <si>
    <t>Different state</t>
  </si>
  <si>
    <t>2.4%</t>
  </si>
  <si>
    <t>Abroad</t>
  </si>
  <si>
    <t>0.6%</t>
  </si>
  <si>
    <t>PLACE OF BIRTH</t>
  </si>
  <si>
    <t>*****</t>
  </si>
  <si>
    <t>Native</t>
  </si>
  <si>
    <t>87.3%</t>
  </si>
  <si>
    <t>Born in United States</t>
  </si>
  <si>
    <t>85.9%</t>
  </si>
  <si>
    <t>State of residence</t>
  </si>
  <si>
    <t>58.7%</t>
  </si>
  <si>
    <t>27.3%</t>
  </si>
  <si>
    <t>1.3%</t>
  </si>
  <si>
    <t>Foreign born</t>
  </si>
  <si>
    <t>12.7%</t>
  </si>
  <si>
    <t>U.S. CITIZENSHIP STATUS</t>
  </si>
  <si>
    <t>Foreign-born population</t>
  </si>
  <si>
    <t>Naturalized U.S. citizen</t>
  </si>
  <si>
    <t>43.1%</t>
  </si>
  <si>
    <t>Not a U.S. citizen</t>
  </si>
  <si>
    <t>56.9%</t>
  </si>
  <si>
    <t>YEAR OF ENTRY</t>
  </si>
  <si>
    <t>Population born outside the United States</t>
  </si>
  <si>
    <t>Entered 2000 or later</t>
  </si>
  <si>
    <t>19.6%</t>
  </si>
  <si>
    <t>Entered before 2000</t>
  </si>
  <si>
    <t>80.4%</t>
  </si>
  <si>
    <t>30.2%</t>
  </si>
  <si>
    <t>69.8%</t>
  </si>
  <si>
    <t>WORLD REGION OF BIRTH OF FOREIGN BORN</t>
  </si>
  <si>
    <t>Europe</t>
  </si>
  <si>
    <t>12.5%</t>
  </si>
  <si>
    <t>Asia</t>
  </si>
  <si>
    <t>27.8%</t>
  </si>
  <si>
    <t>Africa</t>
  </si>
  <si>
    <t>3.8%</t>
  </si>
  <si>
    <t>Oceania</t>
  </si>
  <si>
    <t>Latin America</t>
  </si>
  <si>
    <t>53.2%</t>
  </si>
  <si>
    <t>Northern America</t>
  </si>
  <si>
    <t>LANGUAGE SPOKEN AT HOME</t>
  </si>
  <si>
    <t>Population 5 years and over</t>
  </si>
  <si>
    <t>English only</t>
  </si>
  <si>
    <t>79.9%</t>
  </si>
  <si>
    <t>Language other than English</t>
  </si>
  <si>
    <t>20.1%</t>
  </si>
  <si>
    <t>Speak English less than "very well"</t>
  </si>
  <si>
    <t>Spanish</t>
  </si>
  <si>
    <t>5.8%</t>
  </si>
  <si>
    <t>Other Indo-European languages</t>
  </si>
  <si>
    <t>3.7%</t>
  </si>
  <si>
    <t>1.2%</t>
  </si>
  <si>
    <t>Asian and Pacific Islander languages</t>
  </si>
  <si>
    <t>3.1%</t>
  </si>
  <si>
    <t>1.5%</t>
  </si>
  <si>
    <t>Other languages</t>
  </si>
  <si>
    <t>0.8%</t>
  </si>
  <si>
    <t>0.2%</t>
  </si>
  <si>
    <t>ANCESTRY</t>
  </si>
  <si>
    <t>American</t>
  </si>
  <si>
    <t>Arab</t>
  </si>
  <si>
    <t>Czech</t>
  </si>
  <si>
    <t>Danish</t>
  </si>
  <si>
    <t>Dutch</t>
  </si>
  <si>
    <t>English</t>
  </si>
  <si>
    <t>French (except Basque)</t>
  </si>
  <si>
    <t>French Canadian</t>
  </si>
  <si>
    <t>German</t>
  </si>
  <si>
    <t>Greek</t>
  </si>
  <si>
    <t>Hungarian</t>
  </si>
  <si>
    <t>Irish</t>
  </si>
  <si>
    <t>Italian</t>
  </si>
  <si>
    <t>Lithuanian</t>
  </si>
  <si>
    <t>Norwegian</t>
  </si>
  <si>
    <t>Polish</t>
  </si>
  <si>
    <t>Portuguese</t>
  </si>
  <si>
    <t>Russian</t>
  </si>
  <si>
    <t>Scotch-Irish</t>
  </si>
  <si>
    <t>Scottish</t>
  </si>
  <si>
    <t>Slovak</t>
  </si>
  <si>
    <t>Subsaharan African</t>
  </si>
  <si>
    <t>Swedish</t>
  </si>
  <si>
    <t>Swiss</t>
  </si>
  <si>
    <t>Ukrainian</t>
  </si>
  <si>
    <t>Welsh</t>
  </si>
  <si>
    <t>West Indian (excluding Hispanic origin groups)</t>
  </si>
  <si>
    <t>±248114</t>
  </si>
  <si>
    <t>±230785</t>
  </si>
  <si>
    <t>±189020</t>
  </si>
  <si>
    <t>±293638</t>
  </si>
  <si>
    <t>±221479</t>
  </si>
  <si>
    <t>Male householder no wife present family</t>
  </si>
  <si>
    <t>±30517</t>
  </si>
  <si>
    <t>±15344</t>
  </si>
  <si>
    <t>Female householder no husband present family</t>
  </si>
  <si>
    <t>±42561</t>
  </si>
  <si>
    <t>±28975</t>
  </si>
  <si>
    <t>±38604</t>
  </si>
  <si>
    <t>±65195</t>
  </si>
  <si>
    <t>±115004</t>
  </si>
  <si>
    <t>±186691</t>
  </si>
  <si>
    <t>±102415</t>
  </si>
  <si>
    <t>±7454</t>
  </si>
  <si>
    <t>±167327</t>
  </si>
  <si>
    <t>Now married except separated</t>
  </si>
  <si>
    <t>±257090</t>
  </si>
  <si>
    <t>±19734</t>
  </si>
  <si>
    <t>±12238</t>
  </si>
  <si>
    <t>±79362</t>
  </si>
  <si>
    <t>±6226</t>
  </si>
  <si>
    <t>±131952</t>
  </si>
  <si>
    <t>±212078</t>
  </si>
  <si>
    <t>±25166</t>
  </si>
  <si>
    <t>±24439</t>
  </si>
  <si>
    <t>±76773</t>
  </si>
  <si>
    <t>±23447</t>
  </si>
  <si>
    <t>Unmarried women (widowed divorced and never married)</t>
  </si>
  <si>
    <t>±9839</t>
  </si>
  <si>
    <t>Per 1000 unmarried women</t>
  </si>
  <si>
    <t>Per 1000 women 15 to 50 years old</t>
  </si>
  <si>
    <t>Per 1000 women 15 to 19 years old</t>
  </si>
  <si>
    <t>Per 1000 women 20 to 34 years old</t>
  </si>
  <si>
    <t>Per 1000 women 35 to 50 years old</t>
  </si>
  <si>
    <t>±30179</t>
  </si>
  <si>
    <t>±14098</t>
  </si>
  <si>
    <t>±6592</t>
  </si>
  <si>
    <t>±6979</t>
  </si>
  <si>
    <t>±5292</t>
  </si>
  <si>
    <t>±9041</t>
  </si>
  <si>
    <t>±9587</t>
  </si>
  <si>
    <t>±11338</t>
  </si>
  <si>
    <t>±98045</t>
  </si>
  <si>
    <t>Nursery school preschool</t>
  </si>
  <si>
    <t>±30224</t>
  </si>
  <si>
    <t>±14331</t>
  </si>
  <si>
    <t>±23235</t>
  </si>
  <si>
    <t>±22873</t>
  </si>
  <si>
    <t>±71146</t>
  </si>
  <si>
    <t>±18056</t>
  </si>
  <si>
    <t>±63874</t>
  </si>
  <si>
    <t>9th to 12th grade no diploma</t>
  </si>
  <si>
    <t>±67801</t>
  </si>
  <si>
    <t>±183279</t>
  </si>
  <si>
    <t>Some college no degree</t>
  </si>
  <si>
    <t>±57855</t>
  </si>
  <si>
    <t>±34737</t>
  </si>
  <si>
    <t>±127668</t>
  </si>
  <si>
    <t>±125036</t>
  </si>
  <si>
    <t>±8528</t>
  </si>
  <si>
    <t>±32162</t>
  </si>
  <si>
    <t>±13120</t>
  </si>
  <si>
    <t>±314814</t>
  </si>
  <si>
    <t>±304274</t>
  </si>
  <si>
    <t>±223020</t>
  </si>
  <si>
    <t>±89018</t>
  </si>
  <si>
    <t>±60840</t>
  </si>
  <si>
    <t>±36380</t>
  </si>
  <si>
    <t>±15367</t>
  </si>
  <si>
    <t>±104147</t>
  </si>
  <si>
    <t>±102507</t>
  </si>
  <si>
    <t>±69767</t>
  </si>
  <si>
    <t>±77950</t>
  </si>
  <si>
    <t>Born in Puerto Rico U.S. Island areas or born abroad to American parent(s)</t>
  </si>
  <si>
    <t>±15566</t>
  </si>
  <si>
    <t>±104183</t>
  </si>
  <si>
    <t>±33307</t>
  </si>
  <si>
    <t>±114869</t>
  </si>
  <si>
    <t>±102543</t>
  </si>
  <si>
    <t>±9131</t>
  </si>
  <si>
    <t>±12885</t>
  </si>
  <si>
    <t>±72480</t>
  </si>
  <si>
    <t>±43808</t>
  </si>
  <si>
    <t>Foreign-born population excluding population born at sea</t>
  </si>
  <si>
    <t>±104190</t>
  </si>
  <si>
    <t>±20625</t>
  </si>
  <si>
    <t>±35631</t>
  </si>
  <si>
    <t>±12328</t>
  </si>
  <si>
    <t>±4366</t>
  </si>
  <si>
    <t>±61005</t>
  </si>
  <si>
    <t>±7198</t>
  </si>
  <si>
    <t>±4301</t>
  </si>
  <si>
    <t>±109713</t>
  </si>
  <si>
    <t>±107739</t>
  </si>
  <si>
    <t>±62203</t>
  </si>
  <si>
    <t>±54404</t>
  </si>
  <si>
    <t>±38650</t>
  </si>
  <si>
    <t>±39933</t>
  </si>
  <si>
    <t>±24330</t>
  </si>
  <si>
    <t>±26398</t>
  </si>
  <si>
    <t>±18161</t>
  </si>
  <si>
    <t>±19746</t>
  </si>
  <si>
    <t>±9523</t>
  </si>
  <si>
    <t>married with kids</t>
  </si>
  <si>
    <t>married without kids</t>
  </si>
  <si>
    <t>not married with kids</t>
  </si>
  <si>
    <t>not married without kids</t>
  </si>
  <si>
    <t>not married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</si>
</sst>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amily val="2"/>
    </font>
    <font>
      <b/>
      <sz val="11"/>
      <name val="Calibri"/>
      <family val="2"/>
    </font>
  </fonts>
  <fills count="6">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xf numFmtId="0" fontId="0" fillId="2" borderId="0" xfId="0" applyFill="1"/>
    <xf numFmtId="0" fontId="0" fillId="2" borderId="0" xfId="0" applyFill="1" applyAlignment="1">
      <alignment wrapText="1" indent="3"/>
    </xf>
    <xf numFmtId="0" fontId="0" fillId="2" borderId="0" xfId="0" applyFill="1" applyAlignment="1">
      <alignment wrapText="1"/>
    </xf>
    <xf numFmtId="0" fontId="0" fillId="3" borderId="0" xfId="0" applyFill="1"/>
    <xf numFmtId="0" fontId="0" fillId="4" borderId="0" xfId="0" applyFill="1"/>
    <xf numFmtId="0" fontId="0" fillId="4" borderId="0" xfId="0" applyFill="1" applyAlignment="1">
      <alignment wrapText="1" indent="3"/>
    </xf>
    <xf numFmtId="0" fontId="0" fillId="4" borderId="0" xfId="0" applyFill="1" applyAlignment="1">
      <alignment wrapText="1"/>
    </xf>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3"/>
  <sheetViews>
    <sheetView workbookViewId="0">
      <selection sqref="A1:B1"/>
    </sheetView>
  </sheetViews>
  <sheetFormatPr baseColWidth="10" defaultColWidth="8.83203125" defaultRowHeight="15" x14ac:dyDescent="0.2"/>
  <cols>
    <col min="1" max="1" width="25" style="1" customWidth="1"/>
    <col min="2" max="2" width="80" style="1" customWidth="1"/>
    <col min="3" max="3" width="20" customWidth="1"/>
  </cols>
  <sheetData>
    <row r="1" spans="1:3" ht="80" customHeight="1" x14ac:dyDescent="0.2">
      <c r="A1" s="9" t="s">
        <v>0</v>
      </c>
      <c r="B1" s="9"/>
      <c r="C1" s="2"/>
    </row>
    <row r="2" spans="1:3" x14ac:dyDescent="0.2">
      <c r="A2" s="10"/>
      <c r="B2" s="10"/>
      <c r="C2" s="10"/>
    </row>
    <row r="3" spans="1:3" x14ac:dyDescent="0.2">
      <c r="A3" s="11" t="s">
        <v>1</v>
      </c>
      <c r="B3" s="11"/>
      <c r="C3" s="11"/>
    </row>
    <row r="4" spans="1:3" x14ac:dyDescent="0.2">
      <c r="A4" s="10"/>
      <c r="B4" s="10"/>
      <c r="C4" s="10"/>
    </row>
    <row r="5" spans="1:3" ht="21.25" customHeight="1" x14ac:dyDescent="0.2">
      <c r="A5" s="3" t="s">
        <v>2</v>
      </c>
      <c r="B5" s="10" t="s">
        <v>3</v>
      </c>
      <c r="C5" s="10"/>
    </row>
    <row r="6" spans="1:3" ht="21.25" customHeight="1" x14ac:dyDescent="0.2">
      <c r="A6" s="1" t="s">
        <v>4</v>
      </c>
      <c r="B6" s="10" t="s">
        <v>5</v>
      </c>
      <c r="C6" s="10"/>
    </row>
    <row r="7" spans="1:3" ht="21.25" customHeight="1" x14ac:dyDescent="0.2">
      <c r="A7" s="1" t="s">
        <v>6</v>
      </c>
      <c r="B7" s="10" t="s">
        <v>7</v>
      </c>
      <c r="C7" s="10"/>
    </row>
    <row r="8" spans="1:3" ht="21.25" customHeight="1" x14ac:dyDescent="0.2">
      <c r="A8" s="1" t="s">
        <v>8</v>
      </c>
      <c r="B8" s="10" t="s">
        <v>9</v>
      </c>
      <c r="C8" s="10"/>
    </row>
    <row r="9" spans="1:3" ht="21.25" customHeight="1" x14ac:dyDescent="0.2">
      <c r="A9" s="1" t="s">
        <v>10</v>
      </c>
      <c r="B9" s="10" t="s">
        <v>11</v>
      </c>
      <c r="C9" s="10"/>
    </row>
    <row r="10" spans="1:3" ht="21.25" customHeight="1" x14ac:dyDescent="0.2">
      <c r="A10" s="1" t="s">
        <v>12</v>
      </c>
      <c r="B10" s="10" t="s">
        <v>13</v>
      </c>
      <c r="C10" s="10"/>
    </row>
    <row r="11" spans="1:3" ht="21.25" customHeight="1" x14ac:dyDescent="0.2">
      <c r="A11" s="1" t="s">
        <v>14</v>
      </c>
      <c r="B11" s="10" t="s">
        <v>15</v>
      </c>
      <c r="C11" s="10"/>
    </row>
    <row r="12" spans="1:3" ht="64" customHeight="1" x14ac:dyDescent="0.2">
      <c r="A12" s="1" t="s">
        <v>16</v>
      </c>
      <c r="B12" s="10" t="s">
        <v>17</v>
      </c>
      <c r="C12" s="10"/>
    </row>
    <row r="13" spans="1:3" ht="21.25" customHeight="1" x14ac:dyDescent="0.2">
      <c r="A13" s="1" t="s">
        <v>18</v>
      </c>
      <c r="B13" s="10" t="s">
        <v>15</v>
      </c>
      <c r="C13" s="10"/>
    </row>
    <row r="14" spans="1:3" ht="21.25" customHeight="1" x14ac:dyDescent="0.2">
      <c r="A14" s="1" t="s">
        <v>19</v>
      </c>
      <c r="B14" s="10" t="s">
        <v>20</v>
      </c>
      <c r="C14" s="10"/>
    </row>
    <row r="15" spans="1:3" x14ac:dyDescent="0.2">
      <c r="A15" s="10"/>
      <c r="B15" s="10"/>
      <c r="C15" s="10"/>
    </row>
    <row r="16" spans="1:3" ht="21.25" customHeight="1" x14ac:dyDescent="0.2">
      <c r="A16" s="3" t="s">
        <v>21</v>
      </c>
      <c r="B16" s="10" t="s">
        <v>15</v>
      </c>
      <c r="C16" s="10"/>
    </row>
    <row r="17" spans="1:3" x14ac:dyDescent="0.2">
      <c r="A17" s="10"/>
      <c r="B17" s="10"/>
      <c r="C17" s="10"/>
    </row>
    <row r="18" spans="1:3" ht="21.25" customHeight="1" x14ac:dyDescent="0.2">
      <c r="A18" s="3" t="s">
        <v>22</v>
      </c>
      <c r="B18" s="10" t="s">
        <v>15</v>
      </c>
      <c r="C18" s="10"/>
    </row>
    <row r="19" spans="1:3" x14ac:dyDescent="0.2">
      <c r="A19" s="10"/>
      <c r="B19" s="10"/>
      <c r="C19" s="10"/>
    </row>
    <row r="20" spans="1:3" ht="21.25" customHeight="1" x14ac:dyDescent="0.2">
      <c r="A20" s="3" t="s">
        <v>23</v>
      </c>
      <c r="B20" s="10" t="s">
        <v>15</v>
      </c>
      <c r="C20" s="10"/>
    </row>
    <row r="21" spans="1:3" x14ac:dyDescent="0.2">
      <c r="A21" s="10"/>
      <c r="B21" s="10"/>
      <c r="C21" s="10"/>
    </row>
    <row r="22" spans="1:3" ht="21.25" customHeight="1" x14ac:dyDescent="0.2">
      <c r="A22" s="3" t="s">
        <v>24</v>
      </c>
      <c r="B22" s="10" t="s">
        <v>15</v>
      </c>
      <c r="C22" s="10"/>
    </row>
    <row r="23" spans="1:3" x14ac:dyDescent="0.2">
      <c r="A23" s="10"/>
      <c r="B23" s="10"/>
      <c r="C23" s="10"/>
    </row>
    <row r="24" spans="1:3" ht="21.25" customHeight="1" x14ac:dyDescent="0.2">
      <c r="A24" s="3" t="s">
        <v>25</v>
      </c>
      <c r="B24" s="10" t="s">
        <v>3</v>
      </c>
      <c r="C24" s="10"/>
    </row>
    <row r="25" spans="1:3" ht="21.25" customHeight="1" x14ac:dyDescent="0.2">
      <c r="A25" s="1" t="s">
        <v>26</v>
      </c>
      <c r="B25" s="10" t="s">
        <v>15</v>
      </c>
      <c r="C25" s="10"/>
    </row>
    <row r="26" spans="1:3" ht="21.25" customHeight="1" x14ac:dyDescent="0.2">
      <c r="A26" s="1" t="s">
        <v>27</v>
      </c>
      <c r="B26" s="10" t="s">
        <v>28</v>
      </c>
      <c r="C26" s="10"/>
    </row>
    <row r="27" spans="1:3" ht="21.25" customHeight="1" x14ac:dyDescent="0.2">
      <c r="A27" s="1" t="s">
        <v>29</v>
      </c>
      <c r="B27" s="10" t="s">
        <v>15</v>
      </c>
      <c r="C27" s="10"/>
    </row>
    <row r="28" spans="1:3" ht="21.25" customHeight="1" x14ac:dyDescent="0.2">
      <c r="A28" s="1" t="s">
        <v>30</v>
      </c>
      <c r="B28" s="10" t="s">
        <v>15</v>
      </c>
      <c r="C28" s="10"/>
    </row>
    <row r="29" spans="1:3" x14ac:dyDescent="0.2">
      <c r="A29" s="10"/>
      <c r="B29" s="10"/>
      <c r="C29" s="10"/>
    </row>
    <row r="30" spans="1:3" ht="21.25" customHeight="1" x14ac:dyDescent="0.2">
      <c r="A30" s="3" t="s">
        <v>31</v>
      </c>
      <c r="B30" s="10" t="s">
        <v>32</v>
      </c>
      <c r="C30" s="10"/>
    </row>
    <row r="31" spans="1:3" x14ac:dyDescent="0.2">
      <c r="A31" s="10"/>
      <c r="B31" s="10"/>
      <c r="C31" s="10"/>
    </row>
    <row r="32" spans="1:3" ht="21.25" customHeight="1" x14ac:dyDescent="0.2">
      <c r="A32" s="3" t="s">
        <v>33</v>
      </c>
      <c r="B32" s="10" t="s">
        <v>3</v>
      </c>
      <c r="C32" s="10"/>
    </row>
    <row r="33" spans="1:3" ht="192" customHeight="1" x14ac:dyDescent="0.2">
      <c r="A33" s="1" t="s">
        <v>3</v>
      </c>
      <c r="B33" s="10" t="s">
        <v>34</v>
      </c>
      <c r="C33" s="10"/>
    </row>
    <row r="34" spans="1:3" ht="85.25" customHeight="1" x14ac:dyDescent="0.2">
      <c r="A34" s="1" t="s">
        <v>3</v>
      </c>
      <c r="B34" s="10" t="s">
        <v>35</v>
      </c>
      <c r="C34" s="10"/>
    </row>
    <row r="35" spans="1:3" ht="409.6" customHeight="1" x14ac:dyDescent="0.2">
      <c r="A35" s="1" t="s">
        <v>3</v>
      </c>
      <c r="B35" s="10" t="s">
        <v>36</v>
      </c>
      <c r="C35" s="10"/>
    </row>
    <row r="36" spans="1:3" ht="52" customHeight="1" x14ac:dyDescent="0.2">
      <c r="B36" s="10"/>
      <c r="C36" s="10"/>
    </row>
    <row r="37" spans="1:3" ht="85.25" customHeight="1" x14ac:dyDescent="0.2">
      <c r="A37" s="1" t="s">
        <v>3</v>
      </c>
      <c r="B37" s="10" t="s">
        <v>37</v>
      </c>
      <c r="C37" s="10"/>
    </row>
    <row r="38" spans="1:3" ht="85.25" customHeight="1" x14ac:dyDescent="0.2">
      <c r="A38" s="1" t="s">
        <v>3</v>
      </c>
      <c r="B38" s="10" t="s">
        <v>38</v>
      </c>
      <c r="C38" s="10"/>
    </row>
    <row r="39" spans="1:3" ht="149.25" customHeight="1" x14ac:dyDescent="0.2">
      <c r="A39" s="1" t="s">
        <v>3</v>
      </c>
      <c r="B39" s="10" t="s">
        <v>39</v>
      </c>
      <c r="C39" s="10"/>
    </row>
    <row r="40" spans="1:3" ht="42.75" customHeight="1" x14ac:dyDescent="0.2">
      <c r="A40" s="1" t="s">
        <v>3</v>
      </c>
      <c r="B40" s="10" t="s">
        <v>40</v>
      </c>
      <c r="C40" s="10"/>
    </row>
    <row r="41" spans="1:3" x14ac:dyDescent="0.2">
      <c r="A41" s="10"/>
      <c r="B41" s="10"/>
      <c r="C41" s="10"/>
    </row>
    <row r="42" spans="1:3" ht="21.25" customHeight="1" x14ac:dyDescent="0.2">
      <c r="A42" s="3" t="s">
        <v>41</v>
      </c>
      <c r="B42" s="10" t="s">
        <v>15</v>
      </c>
      <c r="C42" s="10"/>
    </row>
    <row r="43" spans="1:3" x14ac:dyDescent="0.2">
      <c r="A43" s="10"/>
      <c r="B43" s="10"/>
      <c r="C43" s="10"/>
    </row>
  </sheetData>
  <mergeCells count="42">
    <mergeCell ref="B42:C42"/>
    <mergeCell ref="A43:C43"/>
    <mergeCell ref="B37:C37"/>
    <mergeCell ref="B38:C38"/>
    <mergeCell ref="B39:C39"/>
    <mergeCell ref="B40:C40"/>
    <mergeCell ref="A41:C41"/>
    <mergeCell ref="A31:C31"/>
    <mergeCell ref="B32:C32"/>
    <mergeCell ref="B33:C33"/>
    <mergeCell ref="B34:C34"/>
    <mergeCell ref="B35:C36"/>
    <mergeCell ref="B26:C26"/>
    <mergeCell ref="B27:C27"/>
    <mergeCell ref="B28:C28"/>
    <mergeCell ref="A29:C29"/>
    <mergeCell ref="B30:C30"/>
    <mergeCell ref="A21:C21"/>
    <mergeCell ref="B22:C22"/>
    <mergeCell ref="A23:C23"/>
    <mergeCell ref="B24:C24"/>
    <mergeCell ref="B25:C25"/>
    <mergeCell ref="B16:C16"/>
    <mergeCell ref="A17:C17"/>
    <mergeCell ref="B18:C18"/>
    <mergeCell ref="A19:C19"/>
    <mergeCell ref="B20:C20"/>
    <mergeCell ref="B11:C11"/>
    <mergeCell ref="B12:C12"/>
    <mergeCell ref="B13:C13"/>
    <mergeCell ref="B14:C14"/>
    <mergeCell ref="A15:C15"/>
    <mergeCell ref="B6:C6"/>
    <mergeCell ref="B7:C7"/>
    <mergeCell ref="B8:C8"/>
    <mergeCell ref="B9:C9"/>
    <mergeCell ref="B10:C10"/>
    <mergeCell ref="A1:B1"/>
    <mergeCell ref="A2:C2"/>
    <mergeCell ref="A3:C3"/>
    <mergeCell ref="A4:C4"/>
    <mergeCell ref="B5:C5"/>
  </mergeCells>
  <printOptions gridLines="1"/>
  <pageMargins left="0.7" right="0.7" top="0.75" bottom="0.75" header="0.3" footer="0.3"/>
  <pageSetup fitToHeight="0" orientation="landscape"/>
  <headerFooter>
    <oddHeader>&amp;LTable: ACSDP5YSPT2010.DP02</oddHeader>
    <oddFooter>&amp;L&amp;Bdata.census.gov&amp;B | Measuring America's People, Places, and Economy &amp;R&amp;P</oddFooter>
    <evenHeader>&amp;LTable: ACSDP5YSPT2010.DP02</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69"/>
  <sheetViews>
    <sheetView tabSelected="1" workbookViewId="0">
      <pane xSplit="1" ySplit="3" topLeftCell="B4" activePane="bottomRight" state="frozen"/>
      <selection pane="topRight"/>
      <selection pane="bottomLeft"/>
      <selection pane="bottomRight" activeCell="L38" sqref="L38"/>
    </sheetView>
  </sheetViews>
  <sheetFormatPr baseColWidth="10" defaultColWidth="8.83203125" defaultRowHeight="15" x14ac:dyDescent="0.2"/>
  <cols>
    <col min="1" max="1" width="30" style="4" customWidth="1"/>
    <col min="2" max="5" width="20" style="4" customWidth="1"/>
    <col min="15" max="15" width="31.6640625" customWidth="1"/>
    <col min="16" max="16" width="21.1640625" customWidth="1"/>
  </cols>
  <sheetData>
    <row r="1" spans="1:17" ht="30" customHeight="1" x14ac:dyDescent="0.2">
      <c r="A1" s="5" t="s">
        <v>3</v>
      </c>
      <c r="B1" s="12" t="s">
        <v>42</v>
      </c>
      <c r="C1" s="12"/>
      <c r="D1" s="12"/>
      <c r="E1" s="12"/>
    </row>
    <row r="2" spans="1:17" ht="30" customHeight="1" x14ac:dyDescent="0.2">
      <c r="A2" s="5" t="s">
        <v>3</v>
      </c>
      <c r="B2" s="12" t="s">
        <v>43</v>
      </c>
      <c r="C2" s="12"/>
      <c r="D2" s="12"/>
      <c r="E2" s="12"/>
    </row>
    <row r="3" spans="1:17" ht="32" customHeight="1" x14ac:dyDescent="0.2">
      <c r="A3" s="5" t="s">
        <v>44</v>
      </c>
      <c r="B3" s="5" t="s">
        <v>45</v>
      </c>
      <c r="C3" s="5" t="s">
        <v>46</v>
      </c>
      <c r="D3" s="5" t="s">
        <v>47</v>
      </c>
      <c r="E3" s="5" t="s">
        <v>48</v>
      </c>
    </row>
    <row r="4" spans="1:17" ht="16" x14ac:dyDescent="0.2">
      <c r="A4" s="4" t="s">
        <v>49</v>
      </c>
    </row>
    <row r="5" spans="1:17" ht="16" x14ac:dyDescent="0.2">
      <c r="A5" s="6" t="s">
        <v>50</v>
      </c>
      <c r="B5" s="4">
        <v>114235996</v>
      </c>
      <c r="C5" s="4" t="s">
        <v>266</v>
      </c>
      <c r="D5" s="4">
        <v>114235996</v>
      </c>
      <c r="E5" s="4" t="s">
        <v>51</v>
      </c>
      <c r="O5" s="6" t="s">
        <v>50</v>
      </c>
      <c r="P5">
        <f>B5</f>
        <v>114235996</v>
      </c>
      <c r="Q5">
        <f>P5/$P$5</f>
        <v>1</v>
      </c>
    </row>
    <row r="6" spans="1:17" ht="16" x14ac:dyDescent="0.2">
      <c r="A6" s="6" t="s">
        <v>52</v>
      </c>
      <c r="B6" s="4">
        <v>76254318</v>
      </c>
      <c r="C6" s="4" t="s">
        <v>267</v>
      </c>
      <c r="D6" s="4" t="s">
        <v>53</v>
      </c>
      <c r="E6" s="4" t="s">
        <v>54</v>
      </c>
      <c r="O6" s="13" t="s">
        <v>372</v>
      </c>
      <c r="P6" s="15">
        <v>24057666</v>
      </c>
      <c r="Q6">
        <f t="shared" ref="Q6:Q9" si="0">P6/$P$5</f>
        <v>0.21059619421535047</v>
      </c>
    </row>
    <row r="7" spans="1:17" ht="16" x14ac:dyDescent="0.2">
      <c r="A7" s="7" t="s">
        <v>55</v>
      </c>
      <c r="B7" s="4">
        <v>34990015</v>
      </c>
      <c r="C7" s="4" t="s">
        <v>268</v>
      </c>
      <c r="D7" s="4" t="s">
        <v>56</v>
      </c>
      <c r="E7" s="4" t="s">
        <v>54</v>
      </c>
      <c r="O7" s="16" t="s">
        <v>373</v>
      </c>
      <c r="P7" s="16">
        <f>P21-P22</f>
        <v>32597746</v>
      </c>
      <c r="Q7">
        <f t="shared" si="0"/>
        <v>0.28535441665865108</v>
      </c>
    </row>
    <row r="8" spans="1:17" ht="16" x14ac:dyDescent="0.2">
      <c r="A8" s="7" t="s">
        <v>57</v>
      </c>
      <c r="B8" s="4">
        <v>56655412</v>
      </c>
      <c r="C8" s="4" t="s">
        <v>269</v>
      </c>
      <c r="D8" s="4" t="s">
        <v>58</v>
      </c>
      <c r="E8" s="4" t="s">
        <v>59</v>
      </c>
      <c r="O8" s="17" t="s">
        <v>374</v>
      </c>
      <c r="P8" s="17">
        <f>SUM(P24,P26)</f>
        <v>10932349</v>
      </c>
      <c r="Q8">
        <f t="shared" si="0"/>
        <v>9.5699686463100481E-2</v>
      </c>
    </row>
    <row r="9" spans="1:17" ht="32" x14ac:dyDescent="0.2">
      <c r="A9" s="8" t="s">
        <v>55</v>
      </c>
      <c r="B9" s="4">
        <v>24057666</v>
      </c>
      <c r="C9" s="4" t="s">
        <v>270</v>
      </c>
      <c r="D9" s="4" t="s">
        <v>60</v>
      </c>
      <c r="E9" s="4" t="s">
        <v>54</v>
      </c>
      <c r="O9" s="20" t="s">
        <v>375</v>
      </c>
      <c r="P9" s="20">
        <f>P13-P8</f>
        <v>46648235</v>
      </c>
      <c r="Q9">
        <f t="shared" si="0"/>
        <v>0.40834970266289794</v>
      </c>
    </row>
    <row r="10" spans="1:17" ht="32" x14ac:dyDescent="0.2">
      <c r="A10" s="7" t="s">
        <v>271</v>
      </c>
      <c r="B10" s="4">
        <v>5214950</v>
      </c>
      <c r="C10" s="4" t="s">
        <v>272</v>
      </c>
      <c r="D10" s="4" t="s">
        <v>61</v>
      </c>
      <c r="E10" s="4" t="s">
        <v>54</v>
      </c>
    </row>
    <row r="11" spans="1:17" ht="32" x14ac:dyDescent="0.2">
      <c r="A11" s="8" t="s">
        <v>55</v>
      </c>
      <c r="B11" s="4">
        <v>2539641</v>
      </c>
      <c r="C11" s="4" t="s">
        <v>273</v>
      </c>
      <c r="D11" s="4" t="s">
        <v>62</v>
      </c>
      <c r="E11" s="4" t="s">
        <v>54</v>
      </c>
    </row>
    <row r="12" spans="1:17" ht="32" x14ac:dyDescent="0.2">
      <c r="A12" s="7" t="s">
        <v>274</v>
      </c>
      <c r="B12" s="4">
        <v>14383956</v>
      </c>
      <c r="C12" s="4" t="s">
        <v>275</v>
      </c>
      <c r="D12" s="4" t="s">
        <v>63</v>
      </c>
      <c r="E12" s="4" t="s">
        <v>54</v>
      </c>
    </row>
    <row r="13" spans="1:17" ht="32" x14ac:dyDescent="0.2">
      <c r="A13" s="8" t="s">
        <v>55</v>
      </c>
      <c r="B13" s="4">
        <v>8392708</v>
      </c>
      <c r="C13" s="4" t="s">
        <v>276</v>
      </c>
      <c r="D13" s="4" t="s">
        <v>64</v>
      </c>
      <c r="E13" s="4" t="s">
        <v>54</v>
      </c>
      <c r="O13" t="s">
        <v>376</v>
      </c>
      <c r="P13">
        <f>SUM(P23,P25,P27)</f>
        <v>57580584</v>
      </c>
    </row>
    <row r="14" spans="1:17" ht="16" x14ac:dyDescent="0.2">
      <c r="A14" s="6" t="s">
        <v>65</v>
      </c>
      <c r="B14" s="4">
        <v>37981678</v>
      </c>
      <c r="C14" s="4" t="s">
        <v>277</v>
      </c>
      <c r="D14" s="4" t="s">
        <v>66</v>
      </c>
      <c r="E14" s="4" t="s">
        <v>54</v>
      </c>
    </row>
    <row r="15" spans="1:17" ht="16" x14ac:dyDescent="0.2">
      <c r="A15" s="7" t="s">
        <v>67</v>
      </c>
      <c r="B15" s="4">
        <v>31115183</v>
      </c>
      <c r="C15" s="4" t="s">
        <v>278</v>
      </c>
      <c r="D15" s="4" t="s">
        <v>68</v>
      </c>
      <c r="E15" s="4" t="s">
        <v>54</v>
      </c>
    </row>
    <row r="16" spans="1:17" ht="16" x14ac:dyDescent="0.2">
      <c r="A16" s="8" t="s">
        <v>69</v>
      </c>
      <c r="B16" s="4">
        <v>10677015</v>
      </c>
      <c r="C16" s="4" t="s">
        <v>279</v>
      </c>
      <c r="D16" s="4" t="s">
        <v>70</v>
      </c>
      <c r="E16" s="4" t="s">
        <v>54</v>
      </c>
    </row>
    <row r="17" spans="1:16" ht="32" x14ac:dyDescent="0.2">
      <c r="A17" s="6" t="s">
        <v>71</v>
      </c>
      <c r="B17" s="4">
        <v>38750454</v>
      </c>
      <c r="C17" s="4" t="s">
        <v>280</v>
      </c>
      <c r="D17" s="4" t="s">
        <v>72</v>
      </c>
      <c r="E17" s="4" t="s">
        <v>54</v>
      </c>
    </row>
    <row r="18" spans="1:16" ht="32" x14ac:dyDescent="0.2">
      <c r="A18" s="6" t="s">
        <v>73</v>
      </c>
      <c r="B18" s="4">
        <v>27391095</v>
      </c>
      <c r="C18" s="4" t="s">
        <v>281</v>
      </c>
      <c r="D18" s="4" t="s">
        <v>74</v>
      </c>
      <c r="E18" s="4" t="s">
        <v>54</v>
      </c>
      <c r="O18" s="6" t="s">
        <v>50</v>
      </c>
      <c r="P18" s="4">
        <v>114235996</v>
      </c>
    </row>
    <row r="19" spans="1:16" ht="16" x14ac:dyDescent="0.2">
      <c r="A19" s="6" t="s">
        <v>75</v>
      </c>
      <c r="B19" s="4" t="s">
        <v>76</v>
      </c>
      <c r="C19" s="4" t="s">
        <v>77</v>
      </c>
      <c r="D19" s="4" t="s">
        <v>51</v>
      </c>
      <c r="E19" s="4" t="s">
        <v>51</v>
      </c>
      <c r="O19" s="6" t="s">
        <v>52</v>
      </c>
      <c r="P19" s="4">
        <v>76254318</v>
      </c>
    </row>
    <row r="20" spans="1:16" ht="16" x14ac:dyDescent="0.2">
      <c r="A20" s="6" t="s">
        <v>78</v>
      </c>
      <c r="B20" s="4" t="s">
        <v>79</v>
      </c>
      <c r="C20" s="4" t="s">
        <v>77</v>
      </c>
      <c r="D20" s="4" t="s">
        <v>51</v>
      </c>
      <c r="E20" s="4" t="s">
        <v>51</v>
      </c>
      <c r="O20" s="7" t="s">
        <v>55</v>
      </c>
      <c r="P20" s="4">
        <v>34990015</v>
      </c>
    </row>
    <row r="21" spans="1:16" ht="16" x14ac:dyDescent="0.2">
      <c r="A21" s="4" t="s">
        <v>80</v>
      </c>
      <c r="O21" s="7" t="s">
        <v>57</v>
      </c>
      <c r="P21" s="4">
        <v>56655412</v>
      </c>
    </row>
    <row r="22" spans="1:16" ht="16" x14ac:dyDescent="0.2">
      <c r="A22" s="6" t="s">
        <v>81</v>
      </c>
      <c r="B22" s="4" t="s">
        <v>51</v>
      </c>
      <c r="C22" s="4" t="s">
        <v>51</v>
      </c>
      <c r="D22" s="4" t="s">
        <v>51</v>
      </c>
      <c r="E22" s="4" t="s">
        <v>51</v>
      </c>
      <c r="O22" s="14" t="s">
        <v>55</v>
      </c>
      <c r="P22" s="15">
        <v>24057666</v>
      </c>
    </row>
    <row r="23" spans="1:16" ht="32" x14ac:dyDescent="0.2">
      <c r="A23" s="6" t="s">
        <v>82</v>
      </c>
      <c r="B23" s="4" t="s">
        <v>51</v>
      </c>
      <c r="C23" s="4" t="s">
        <v>51</v>
      </c>
      <c r="D23" s="4" t="s">
        <v>51</v>
      </c>
      <c r="E23" s="4" t="s">
        <v>51</v>
      </c>
      <c r="O23" s="7" t="s">
        <v>271</v>
      </c>
      <c r="P23" s="4">
        <v>5214950</v>
      </c>
    </row>
    <row r="24" spans="1:16" ht="16" x14ac:dyDescent="0.2">
      <c r="A24" s="6" t="s">
        <v>83</v>
      </c>
      <c r="B24" s="4" t="s">
        <v>51</v>
      </c>
      <c r="C24" s="4" t="s">
        <v>51</v>
      </c>
      <c r="D24" s="4" t="s">
        <v>51</v>
      </c>
      <c r="E24" s="4" t="s">
        <v>51</v>
      </c>
      <c r="O24" s="18" t="s">
        <v>55</v>
      </c>
      <c r="P24" s="19">
        <v>2539641</v>
      </c>
    </row>
    <row r="25" spans="1:16" ht="32" x14ac:dyDescent="0.2">
      <c r="A25" s="6" t="s">
        <v>84</v>
      </c>
      <c r="B25" s="4" t="s">
        <v>51</v>
      </c>
      <c r="C25" s="4" t="s">
        <v>51</v>
      </c>
      <c r="D25" s="4" t="s">
        <v>51</v>
      </c>
      <c r="E25" s="4" t="s">
        <v>51</v>
      </c>
      <c r="O25" s="7" t="s">
        <v>274</v>
      </c>
      <c r="P25" s="4">
        <v>14383956</v>
      </c>
    </row>
    <row r="26" spans="1:16" ht="16" x14ac:dyDescent="0.2">
      <c r="A26" s="6" t="s">
        <v>85</v>
      </c>
      <c r="B26" s="4" t="s">
        <v>51</v>
      </c>
      <c r="C26" s="4" t="s">
        <v>51</v>
      </c>
      <c r="D26" s="4" t="s">
        <v>51</v>
      </c>
      <c r="E26" s="4" t="s">
        <v>51</v>
      </c>
      <c r="O26" s="18" t="s">
        <v>55</v>
      </c>
      <c r="P26" s="19">
        <v>8392708</v>
      </c>
    </row>
    <row r="27" spans="1:16" ht="16" x14ac:dyDescent="0.2">
      <c r="A27" s="6" t="s">
        <v>86</v>
      </c>
      <c r="B27" s="4" t="s">
        <v>51</v>
      </c>
      <c r="C27" s="4" t="s">
        <v>51</v>
      </c>
      <c r="D27" s="4" t="s">
        <v>51</v>
      </c>
      <c r="E27" s="4" t="s">
        <v>51</v>
      </c>
      <c r="O27" s="6" t="s">
        <v>65</v>
      </c>
      <c r="P27" s="4">
        <v>37981678</v>
      </c>
    </row>
    <row r="28" spans="1:16" ht="16" x14ac:dyDescent="0.2">
      <c r="A28" s="7" t="s">
        <v>87</v>
      </c>
      <c r="B28" s="4" t="s">
        <v>51</v>
      </c>
      <c r="C28" s="4" t="s">
        <v>51</v>
      </c>
      <c r="D28" s="4" t="s">
        <v>51</v>
      </c>
      <c r="E28" s="4" t="s">
        <v>51</v>
      </c>
      <c r="O28" s="7" t="s">
        <v>67</v>
      </c>
      <c r="P28" s="4">
        <v>31115183</v>
      </c>
    </row>
    <row r="29" spans="1:16" ht="16" x14ac:dyDescent="0.2">
      <c r="A29" s="4" t="s">
        <v>88</v>
      </c>
      <c r="O29" s="8" t="s">
        <v>69</v>
      </c>
      <c r="P29" s="4">
        <v>10677015</v>
      </c>
    </row>
    <row r="30" spans="1:16" ht="32" x14ac:dyDescent="0.2">
      <c r="A30" s="6" t="s">
        <v>89</v>
      </c>
      <c r="B30" s="4">
        <v>118264295</v>
      </c>
      <c r="C30" s="4" t="s">
        <v>282</v>
      </c>
      <c r="D30" s="4">
        <v>118264295</v>
      </c>
      <c r="E30" s="4" t="s">
        <v>51</v>
      </c>
      <c r="O30" s="6" t="s">
        <v>71</v>
      </c>
      <c r="P30" s="4">
        <v>38750454</v>
      </c>
    </row>
    <row r="31" spans="1:16" ht="32" x14ac:dyDescent="0.2">
      <c r="A31" s="6" t="s">
        <v>90</v>
      </c>
      <c r="B31" s="4">
        <v>40461438</v>
      </c>
      <c r="C31" s="4" t="s">
        <v>283</v>
      </c>
      <c r="D31" s="4" t="s">
        <v>91</v>
      </c>
      <c r="E31" s="4" t="s">
        <v>54</v>
      </c>
      <c r="O31" s="6" t="s">
        <v>73</v>
      </c>
      <c r="P31" s="4">
        <v>27391095</v>
      </c>
    </row>
    <row r="32" spans="1:16" ht="16" x14ac:dyDescent="0.2">
      <c r="A32" s="6" t="s">
        <v>284</v>
      </c>
      <c r="B32" s="4">
        <v>61745693</v>
      </c>
      <c r="C32" s="4" t="s">
        <v>285</v>
      </c>
      <c r="D32" s="4" t="s">
        <v>92</v>
      </c>
      <c r="E32" s="4" t="s">
        <v>59</v>
      </c>
    </row>
    <row r="33" spans="1:5" ht="16" x14ac:dyDescent="0.2">
      <c r="A33" s="6" t="s">
        <v>93</v>
      </c>
      <c r="B33" s="4">
        <v>2137849</v>
      </c>
      <c r="C33" s="4" t="s">
        <v>286</v>
      </c>
      <c r="D33" s="4" t="s">
        <v>94</v>
      </c>
      <c r="E33" s="4" t="s">
        <v>54</v>
      </c>
    </row>
    <row r="34" spans="1:5" ht="16" x14ac:dyDescent="0.2">
      <c r="A34" s="6" t="s">
        <v>95</v>
      </c>
      <c r="B34" s="4">
        <v>2977072</v>
      </c>
      <c r="C34" s="4" t="s">
        <v>287</v>
      </c>
      <c r="D34" s="4" t="s">
        <v>96</v>
      </c>
      <c r="E34" s="4" t="s">
        <v>54</v>
      </c>
    </row>
    <row r="35" spans="1:5" ht="16" x14ac:dyDescent="0.2">
      <c r="A35" s="6" t="s">
        <v>97</v>
      </c>
      <c r="B35" s="4">
        <v>10942243</v>
      </c>
      <c r="C35" s="4" t="s">
        <v>288</v>
      </c>
      <c r="D35" s="4" t="s">
        <v>70</v>
      </c>
      <c r="E35" s="4" t="s">
        <v>54</v>
      </c>
    </row>
    <row r="36" spans="1:5" ht="16" x14ac:dyDescent="0.2">
      <c r="A36" s="6" t="s">
        <v>98</v>
      </c>
      <c r="B36" s="4">
        <v>124809173</v>
      </c>
      <c r="C36" s="4" t="s">
        <v>289</v>
      </c>
      <c r="D36" s="4">
        <v>124809173</v>
      </c>
      <c r="E36" s="4" t="s">
        <v>51</v>
      </c>
    </row>
    <row r="37" spans="1:5" ht="16" x14ac:dyDescent="0.2">
      <c r="A37" s="6" t="s">
        <v>90</v>
      </c>
      <c r="B37" s="4">
        <v>34856779</v>
      </c>
      <c r="C37" s="4" t="s">
        <v>290</v>
      </c>
      <c r="D37" s="4" t="s">
        <v>99</v>
      </c>
      <c r="E37" s="4" t="s">
        <v>54</v>
      </c>
    </row>
    <row r="38" spans="1:5" ht="16" x14ac:dyDescent="0.2">
      <c r="A38" s="6" t="s">
        <v>284</v>
      </c>
      <c r="B38" s="4">
        <v>60343650</v>
      </c>
      <c r="C38" s="4" t="s">
        <v>291</v>
      </c>
      <c r="D38" s="4" t="s">
        <v>100</v>
      </c>
      <c r="E38" s="4" t="s">
        <v>59</v>
      </c>
    </row>
    <row r="39" spans="1:5" ht="16" x14ac:dyDescent="0.2">
      <c r="A39" s="6" t="s">
        <v>93</v>
      </c>
      <c r="B39" s="4">
        <v>3124997</v>
      </c>
      <c r="C39" s="4" t="s">
        <v>292</v>
      </c>
      <c r="D39" s="4" t="s">
        <v>96</v>
      </c>
      <c r="E39" s="4" t="s">
        <v>54</v>
      </c>
    </row>
    <row r="40" spans="1:5" ht="16" x14ac:dyDescent="0.2">
      <c r="A40" s="6" t="s">
        <v>95</v>
      </c>
      <c r="B40" s="4">
        <v>11925452</v>
      </c>
      <c r="C40" s="4" t="s">
        <v>293</v>
      </c>
      <c r="D40" s="4" t="s">
        <v>101</v>
      </c>
      <c r="E40" s="4" t="s">
        <v>54</v>
      </c>
    </row>
    <row r="41" spans="1:5" ht="16" x14ac:dyDescent="0.2">
      <c r="A41" s="6" t="s">
        <v>97</v>
      </c>
      <c r="B41" s="4">
        <v>14558295</v>
      </c>
      <c r="C41" s="4" t="s">
        <v>294</v>
      </c>
      <c r="D41" s="4" t="s">
        <v>102</v>
      </c>
      <c r="E41" s="4" t="s">
        <v>54</v>
      </c>
    </row>
    <row r="42" spans="1:5" ht="16" x14ac:dyDescent="0.2">
      <c r="A42" s="4" t="s">
        <v>103</v>
      </c>
    </row>
    <row r="43" spans="1:5" ht="48" x14ac:dyDescent="0.2">
      <c r="A43" s="6" t="s">
        <v>104</v>
      </c>
      <c r="B43" s="4">
        <v>4308790</v>
      </c>
      <c r="C43" s="4" t="s">
        <v>295</v>
      </c>
      <c r="D43" s="4">
        <v>4308790</v>
      </c>
      <c r="E43" s="4" t="s">
        <v>51</v>
      </c>
    </row>
    <row r="44" spans="1:5" ht="32" x14ac:dyDescent="0.2">
      <c r="A44" s="6" t="s">
        <v>296</v>
      </c>
      <c r="B44" s="4">
        <v>1464737</v>
      </c>
      <c r="C44" s="4" t="s">
        <v>297</v>
      </c>
      <c r="D44" s="4" t="s">
        <v>105</v>
      </c>
      <c r="E44" s="4" t="s">
        <v>106</v>
      </c>
    </row>
    <row r="45" spans="1:5" ht="16" x14ac:dyDescent="0.2">
      <c r="A45" s="7" t="s">
        <v>298</v>
      </c>
      <c r="B45" s="4" t="s">
        <v>107</v>
      </c>
      <c r="C45" s="4" t="s">
        <v>108</v>
      </c>
      <c r="D45" s="4" t="s">
        <v>51</v>
      </c>
      <c r="E45" s="4" t="s">
        <v>51</v>
      </c>
    </row>
    <row r="46" spans="1:5" ht="16" x14ac:dyDescent="0.2">
      <c r="A46" s="6" t="s">
        <v>299</v>
      </c>
      <c r="B46" s="4" t="s">
        <v>109</v>
      </c>
      <c r="C46" s="4" t="s">
        <v>108</v>
      </c>
      <c r="D46" s="4" t="s">
        <v>51</v>
      </c>
      <c r="E46" s="4" t="s">
        <v>51</v>
      </c>
    </row>
    <row r="47" spans="1:5" ht="32" x14ac:dyDescent="0.2">
      <c r="A47" s="7" t="s">
        <v>300</v>
      </c>
      <c r="B47" s="4" t="s">
        <v>110</v>
      </c>
      <c r="C47" s="4" t="s">
        <v>108</v>
      </c>
      <c r="D47" s="4" t="s">
        <v>51</v>
      </c>
      <c r="E47" s="4" t="s">
        <v>51</v>
      </c>
    </row>
    <row r="48" spans="1:5" ht="32" x14ac:dyDescent="0.2">
      <c r="A48" s="7" t="s">
        <v>301</v>
      </c>
      <c r="B48" s="4" t="s">
        <v>111</v>
      </c>
      <c r="C48" s="4" t="s">
        <v>108</v>
      </c>
      <c r="D48" s="4" t="s">
        <v>51</v>
      </c>
      <c r="E48" s="4" t="s">
        <v>51</v>
      </c>
    </row>
    <row r="49" spans="1:5" ht="32" x14ac:dyDescent="0.2">
      <c r="A49" s="7" t="s">
        <v>302</v>
      </c>
      <c r="B49" s="4" t="s">
        <v>112</v>
      </c>
      <c r="C49" s="4" t="s">
        <v>108</v>
      </c>
      <c r="D49" s="4" t="s">
        <v>51</v>
      </c>
      <c r="E49" s="4" t="s">
        <v>51</v>
      </c>
    </row>
    <row r="50" spans="1:5" ht="16" x14ac:dyDescent="0.2">
      <c r="A50" s="4" t="s">
        <v>113</v>
      </c>
    </row>
    <row r="51" spans="1:5" ht="32" x14ac:dyDescent="0.2">
      <c r="A51" s="6" t="s">
        <v>114</v>
      </c>
      <c r="B51" s="4">
        <v>6449387</v>
      </c>
      <c r="C51" s="4" t="s">
        <v>303</v>
      </c>
      <c r="D51" s="4">
        <v>6449387</v>
      </c>
      <c r="E51" s="4" t="s">
        <v>51</v>
      </c>
    </row>
    <row r="52" spans="1:5" ht="16" x14ac:dyDescent="0.2">
      <c r="A52" s="6" t="s">
        <v>115</v>
      </c>
      <c r="B52" s="4">
        <v>2641514</v>
      </c>
      <c r="C52" s="4" t="s">
        <v>304</v>
      </c>
      <c r="D52" s="4" t="s">
        <v>116</v>
      </c>
      <c r="E52" s="4" t="s">
        <v>59</v>
      </c>
    </row>
    <row r="53" spans="1:5" ht="16" x14ac:dyDescent="0.2">
      <c r="A53" s="7" t="s">
        <v>117</v>
      </c>
    </row>
    <row r="54" spans="1:5" ht="16" x14ac:dyDescent="0.2">
      <c r="A54" s="8" t="s">
        <v>118</v>
      </c>
      <c r="B54" s="4">
        <v>599400</v>
      </c>
      <c r="C54" s="4" t="s">
        <v>305</v>
      </c>
      <c r="D54" s="4" t="s">
        <v>70</v>
      </c>
      <c r="E54" s="4" t="s">
        <v>54</v>
      </c>
    </row>
    <row r="55" spans="1:5" ht="16" x14ac:dyDescent="0.2">
      <c r="A55" s="8" t="s">
        <v>119</v>
      </c>
      <c r="B55" s="4">
        <v>633758</v>
      </c>
      <c r="C55" s="4" t="s">
        <v>306</v>
      </c>
      <c r="D55" s="4" t="s">
        <v>120</v>
      </c>
      <c r="E55" s="4" t="s">
        <v>54</v>
      </c>
    </row>
    <row r="56" spans="1:5" ht="16" x14ac:dyDescent="0.2">
      <c r="A56" s="8" t="s">
        <v>121</v>
      </c>
      <c r="B56" s="4">
        <v>436147</v>
      </c>
      <c r="C56" s="4" t="s">
        <v>307</v>
      </c>
      <c r="D56" s="4" t="s">
        <v>122</v>
      </c>
      <c r="E56" s="4" t="s">
        <v>54</v>
      </c>
    </row>
    <row r="57" spans="1:5" ht="16" x14ac:dyDescent="0.2">
      <c r="A57" s="8" t="s">
        <v>123</v>
      </c>
      <c r="B57" s="4">
        <v>972209</v>
      </c>
      <c r="C57" s="4" t="s">
        <v>308</v>
      </c>
      <c r="D57" s="4" t="s">
        <v>124</v>
      </c>
      <c r="E57" s="4" t="s">
        <v>54</v>
      </c>
    </row>
    <row r="58" spans="1:5" ht="48" x14ac:dyDescent="0.2">
      <c r="A58" s="6" t="s">
        <v>125</v>
      </c>
      <c r="B58" s="4">
        <v>2641514</v>
      </c>
      <c r="C58" s="4" t="s">
        <v>304</v>
      </c>
      <c r="D58" s="4">
        <v>2641514</v>
      </c>
      <c r="E58" s="4" t="s">
        <v>51</v>
      </c>
    </row>
    <row r="59" spans="1:5" ht="16" x14ac:dyDescent="0.2">
      <c r="A59" s="6" t="s">
        <v>126</v>
      </c>
      <c r="B59" s="4">
        <v>1658717</v>
      </c>
      <c r="C59" s="4" t="s">
        <v>309</v>
      </c>
      <c r="D59" s="4" t="s">
        <v>127</v>
      </c>
      <c r="E59" s="4" t="s">
        <v>54</v>
      </c>
    </row>
    <row r="60" spans="1:5" ht="16" x14ac:dyDescent="0.2">
      <c r="A60" s="6" t="s">
        <v>128</v>
      </c>
      <c r="B60" s="4">
        <v>1866847</v>
      </c>
      <c r="C60" s="4" t="s">
        <v>310</v>
      </c>
      <c r="D60" s="4" t="s">
        <v>129</v>
      </c>
      <c r="E60" s="4" t="s">
        <v>59</v>
      </c>
    </row>
    <row r="61" spans="1:5" ht="16" x14ac:dyDescent="0.2">
      <c r="A61" s="4" t="s">
        <v>130</v>
      </c>
    </row>
    <row r="62" spans="1:5" ht="32" x14ac:dyDescent="0.2">
      <c r="A62" s="6" t="s">
        <v>131</v>
      </c>
      <c r="B62" s="4">
        <v>80939002</v>
      </c>
      <c r="C62" s="4" t="s">
        <v>311</v>
      </c>
      <c r="D62" s="4">
        <v>80939002</v>
      </c>
      <c r="E62" s="4" t="s">
        <v>51</v>
      </c>
    </row>
    <row r="63" spans="1:5" ht="16" x14ac:dyDescent="0.2">
      <c r="A63" s="6" t="s">
        <v>312</v>
      </c>
      <c r="B63" s="4">
        <v>4924145</v>
      </c>
      <c r="C63" s="4" t="s">
        <v>313</v>
      </c>
      <c r="D63" s="4" t="s">
        <v>132</v>
      </c>
      <c r="E63" s="4" t="s">
        <v>54</v>
      </c>
    </row>
    <row r="64" spans="1:5" ht="16" x14ac:dyDescent="0.2">
      <c r="A64" s="6" t="s">
        <v>133</v>
      </c>
      <c r="B64" s="4">
        <v>4113849</v>
      </c>
      <c r="C64" s="4" t="s">
        <v>314</v>
      </c>
      <c r="D64" s="4" t="s">
        <v>134</v>
      </c>
      <c r="E64" s="4" t="s">
        <v>54</v>
      </c>
    </row>
    <row r="65" spans="1:5" ht="16" x14ac:dyDescent="0.2">
      <c r="A65" s="6" t="s">
        <v>135</v>
      </c>
      <c r="B65" s="4">
        <v>32578808</v>
      </c>
      <c r="C65" s="4" t="s">
        <v>315</v>
      </c>
      <c r="D65" s="4" t="s">
        <v>136</v>
      </c>
      <c r="E65" s="4" t="s">
        <v>54</v>
      </c>
    </row>
    <row r="66" spans="1:5" ht="16" x14ac:dyDescent="0.2">
      <c r="A66" s="6" t="s">
        <v>137</v>
      </c>
      <c r="B66" s="4">
        <v>17532181</v>
      </c>
      <c r="C66" s="4" t="s">
        <v>316</v>
      </c>
      <c r="D66" s="4" t="s">
        <v>138</v>
      </c>
      <c r="E66" s="4" t="s">
        <v>54</v>
      </c>
    </row>
    <row r="67" spans="1:5" ht="16" x14ac:dyDescent="0.2">
      <c r="A67" s="6" t="s">
        <v>139</v>
      </c>
      <c r="B67" s="4">
        <v>21790019</v>
      </c>
      <c r="C67" s="4" t="s">
        <v>317</v>
      </c>
      <c r="D67" s="4" t="s">
        <v>140</v>
      </c>
      <c r="E67" s="4" t="s">
        <v>54</v>
      </c>
    </row>
    <row r="68" spans="1:5" ht="16" x14ac:dyDescent="0.2">
      <c r="A68" s="4" t="s">
        <v>141</v>
      </c>
    </row>
    <row r="69" spans="1:5" ht="16" x14ac:dyDescent="0.2">
      <c r="A69" s="6" t="s">
        <v>142</v>
      </c>
      <c r="B69" s="4">
        <v>199726659</v>
      </c>
      <c r="C69" s="4" t="s">
        <v>318</v>
      </c>
      <c r="D69" s="4">
        <v>199726659</v>
      </c>
      <c r="E69" s="4" t="s">
        <v>51</v>
      </c>
    </row>
    <row r="70" spans="1:5" ht="16" x14ac:dyDescent="0.2">
      <c r="A70" s="6" t="s">
        <v>143</v>
      </c>
      <c r="B70" s="4">
        <v>12435227</v>
      </c>
      <c r="C70" s="4" t="s">
        <v>319</v>
      </c>
      <c r="D70" s="4" t="s">
        <v>144</v>
      </c>
      <c r="E70" s="4" t="s">
        <v>54</v>
      </c>
    </row>
    <row r="71" spans="1:5" ht="16" x14ac:dyDescent="0.2">
      <c r="A71" s="6" t="s">
        <v>320</v>
      </c>
      <c r="B71" s="4">
        <v>17463256</v>
      </c>
      <c r="C71" s="4" t="s">
        <v>321</v>
      </c>
      <c r="D71" s="4" t="s">
        <v>145</v>
      </c>
      <c r="E71" s="4" t="s">
        <v>54</v>
      </c>
    </row>
    <row r="72" spans="1:5" ht="32" x14ac:dyDescent="0.2">
      <c r="A72" s="6" t="s">
        <v>146</v>
      </c>
      <c r="B72" s="4">
        <v>57903353</v>
      </c>
      <c r="C72" s="4" t="s">
        <v>322</v>
      </c>
      <c r="D72" s="4" t="s">
        <v>147</v>
      </c>
      <c r="E72" s="4" t="s">
        <v>54</v>
      </c>
    </row>
    <row r="73" spans="1:5" ht="16" x14ac:dyDescent="0.2">
      <c r="A73" s="6" t="s">
        <v>323</v>
      </c>
      <c r="B73" s="4">
        <v>41175904</v>
      </c>
      <c r="C73" s="4" t="s">
        <v>324</v>
      </c>
      <c r="D73" s="4" t="s">
        <v>148</v>
      </c>
      <c r="E73" s="4" t="s">
        <v>54</v>
      </c>
    </row>
    <row r="74" spans="1:5" ht="16" x14ac:dyDescent="0.2">
      <c r="A74" s="6" t="s">
        <v>149</v>
      </c>
      <c r="B74" s="4">
        <v>15021920</v>
      </c>
      <c r="C74" s="4" t="s">
        <v>325</v>
      </c>
      <c r="D74" s="4" t="s">
        <v>150</v>
      </c>
      <c r="E74" s="4" t="s">
        <v>54</v>
      </c>
    </row>
    <row r="75" spans="1:5" ht="16" x14ac:dyDescent="0.2">
      <c r="A75" s="6" t="s">
        <v>151</v>
      </c>
      <c r="B75" s="4">
        <v>35148428</v>
      </c>
      <c r="C75" s="4" t="s">
        <v>326</v>
      </c>
      <c r="D75" s="4" t="s">
        <v>152</v>
      </c>
      <c r="E75" s="4" t="s">
        <v>54</v>
      </c>
    </row>
    <row r="76" spans="1:5" ht="16" x14ac:dyDescent="0.2">
      <c r="A76" s="6" t="s">
        <v>153</v>
      </c>
      <c r="B76" s="4">
        <v>20578571</v>
      </c>
      <c r="C76" s="4" t="s">
        <v>327</v>
      </c>
      <c r="D76" s="4" t="s">
        <v>154</v>
      </c>
      <c r="E76" s="4" t="s">
        <v>54</v>
      </c>
    </row>
    <row r="77" spans="1:5" ht="32" x14ac:dyDescent="0.2">
      <c r="A77" s="6" t="s">
        <v>155</v>
      </c>
      <c r="B77" s="4" t="s">
        <v>51</v>
      </c>
      <c r="C77" s="4" t="s">
        <v>51</v>
      </c>
      <c r="D77" s="4" t="s">
        <v>156</v>
      </c>
      <c r="E77" s="4" t="s">
        <v>54</v>
      </c>
    </row>
    <row r="78" spans="1:5" ht="16" x14ac:dyDescent="0.2">
      <c r="A78" s="6" t="s">
        <v>157</v>
      </c>
      <c r="B78" s="4" t="s">
        <v>51</v>
      </c>
      <c r="C78" s="4" t="s">
        <v>51</v>
      </c>
      <c r="D78" s="4" t="s">
        <v>99</v>
      </c>
      <c r="E78" s="4" t="s">
        <v>54</v>
      </c>
    </row>
    <row r="79" spans="1:5" ht="16" x14ac:dyDescent="0.2">
      <c r="A79" s="4" t="s">
        <v>158</v>
      </c>
    </row>
    <row r="80" spans="1:5" ht="32" x14ac:dyDescent="0.2">
      <c r="A80" s="6" t="s">
        <v>159</v>
      </c>
      <c r="B80" s="4">
        <v>228808831</v>
      </c>
      <c r="C80" s="4" t="s">
        <v>328</v>
      </c>
      <c r="D80" s="4">
        <v>228808831</v>
      </c>
      <c r="E80" s="4" t="s">
        <v>51</v>
      </c>
    </row>
    <row r="81" spans="1:5" ht="16" x14ac:dyDescent="0.2">
      <c r="A81" s="6" t="s">
        <v>160</v>
      </c>
      <c r="B81" s="4">
        <v>22652496</v>
      </c>
      <c r="C81" s="4" t="s">
        <v>329</v>
      </c>
      <c r="D81" s="4" t="s">
        <v>161</v>
      </c>
      <c r="E81" s="4" t="s">
        <v>54</v>
      </c>
    </row>
    <row r="82" spans="1:5" ht="32" x14ac:dyDescent="0.2">
      <c r="A82" s="4" t="s">
        <v>162</v>
      </c>
    </row>
    <row r="83" spans="1:5" ht="32" x14ac:dyDescent="0.2">
      <c r="A83" s="6" t="s">
        <v>163</v>
      </c>
      <c r="B83" s="4" t="s">
        <v>51</v>
      </c>
      <c r="C83" s="4" t="s">
        <v>51</v>
      </c>
      <c r="D83" s="4" t="s">
        <v>51</v>
      </c>
      <c r="E83" s="4" t="s">
        <v>51</v>
      </c>
    </row>
    <row r="84" spans="1:5" ht="16" x14ac:dyDescent="0.2">
      <c r="A84" s="6" t="s">
        <v>164</v>
      </c>
      <c r="B84" s="4" t="s">
        <v>51</v>
      </c>
      <c r="C84" s="4" t="s">
        <v>51</v>
      </c>
      <c r="D84" s="4" t="s">
        <v>51</v>
      </c>
      <c r="E84" s="4" t="s">
        <v>51</v>
      </c>
    </row>
    <row r="85" spans="1:5" ht="16" x14ac:dyDescent="0.2">
      <c r="A85" s="6" t="s">
        <v>165</v>
      </c>
      <c r="B85" s="4" t="s">
        <v>51</v>
      </c>
      <c r="C85" s="4" t="s">
        <v>51</v>
      </c>
      <c r="D85" s="4" t="s">
        <v>51</v>
      </c>
      <c r="E85" s="4" t="s">
        <v>51</v>
      </c>
    </row>
    <row r="86" spans="1:5" ht="16" x14ac:dyDescent="0.2">
      <c r="A86" s="6" t="s">
        <v>164</v>
      </c>
      <c r="B86" s="4" t="s">
        <v>51</v>
      </c>
      <c r="C86" s="4" t="s">
        <v>51</v>
      </c>
      <c r="D86" s="4" t="s">
        <v>51</v>
      </c>
      <c r="E86" s="4" t="s">
        <v>51</v>
      </c>
    </row>
    <row r="87" spans="1:5" ht="16" x14ac:dyDescent="0.2">
      <c r="A87" s="6" t="s">
        <v>166</v>
      </c>
      <c r="B87" s="4" t="s">
        <v>51</v>
      </c>
      <c r="C87" s="4" t="s">
        <v>51</v>
      </c>
      <c r="D87" s="4" t="s">
        <v>51</v>
      </c>
      <c r="E87" s="4" t="s">
        <v>51</v>
      </c>
    </row>
    <row r="88" spans="1:5" ht="16" x14ac:dyDescent="0.2">
      <c r="A88" s="6" t="s">
        <v>164</v>
      </c>
      <c r="B88" s="4" t="s">
        <v>51</v>
      </c>
      <c r="C88" s="4" t="s">
        <v>51</v>
      </c>
      <c r="D88" s="4" t="s">
        <v>51</v>
      </c>
      <c r="E88" s="4" t="s">
        <v>51</v>
      </c>
    </row>
    <row r="89" spans="1:5" ht="16" x14ac:dyDescent="0.2">
      <c r="A89" s="6" t="s">
        <v>69</v>
      </c>
      <c r="B89" s="4" t="s">
        <v>51</v>
      </c>
      <c r="C89" s="4" t="s">
        <v>51</v>
      </c>
      <c r="D89" s="4" t="s">
        <v>51</v>
      </c>
      <c r="E89" s="4" t="s">
        <v>51</v>
      </c>
    </row>
    <row r="90" spans="1:5" ht="16" x14ac:dyDescent="0.2">
      <c r="A90" s="6" t="s">
        <v>164</v>
      </c>
      <c r="B90" s="4" t="s">
        <v>51</v>
      </c>
      <c r="C90" s="4" t="s">
        <v>51</v>
      </c>
      <c r="D90" s="4" t="s">
        <v>51</v>
      </c>
      <c r="E90" s="4" t="s">
        <v>51</v>
      </c>
    </row>
    <row r="91" spans="1:5" ht="16" x14ac:dyDescent="0.2">
      <c r="A91" s="4" t="s">
        <v>167</v>
      </c>
    </row>
    <row r="92" spans="1:5" ht="16" x14ac:dyDescent="0.2">
      <c r="A92" s="6" t="s">
        <v>168</v>
      </c>
      <c r="B92" s="4">
        <v>300061429</v>
      </c>
      <c r="C92" s="4" t="s">
        <v>330</v>
      </c>
      <c r="D92" s="4">
        <v>300061429</v>
      </c>
      <c r="E92" s="4" t="s">
        <v>51</v>
      </c>
    </row>
    <row r="93" spans="1:5" ht="16" x14ac:dyDescent="0.2">
      <c r="A93" s="6" t="s">
        <v>169</v>
      </c>
      <c r="B93" s="4">
        <v>252727620</v>
      </c>
      <c r="C93" s="4" t="s">
        <v>331</v>
      </c>
      <c r="D93" s="4" t="s">
        <v>170</v>
      </c>
      <c r="E93" s="4" t="s">
        <v>54</v>
      </c>
    </row>
    <row r="94" spans="1:5" ht="16" x14ac:dyDescent="0.2">
      <c r="A94" s="6" t="s">
        <v>171</v>
      </c>
      <c r="B94" s="4">
        <v>45490713</v>
      </c>
      <c r="C94" s="4" t="s">
        <v>332</v>
      </c>
      <c r="D94" s="4" t="s">
        <v>172</v>
      </c>
      <c r="E94" s="4" t="s">
        <v>54</v>
      </c>
    </row>
    <row r="95" spans="1:5" ht="16" x14ac:dyDescent="0.2">
      <c r="A95" s="7" t="s">
        <v>173</v>
      </c>
      <c r="B95" s="4">
        <v>28240219</v>
      </c>
      <c r="C95" s="4" t="s">
        <v>333</v>
      </c>
      <c r="D95" s="4" t="s">
        <v>174</v>
      </c>
      <c r="E95" s="4" t="s">
        <v>54</v>
      </c>
    </row>
    <row r="96" spans="1:5" ht="16" x14ac:dyDescent="0.2">
      <c r="A96" s="7" t="s">
        <v>175</v>
      </c>
      <c r="B96" s="4">
        <v>17250494</v>
      </c>
      <c r="C96" s="4" t="s">
        <v>334</v>
      </c>
      <c r="D96" s="4" t="s">
        <v>176</v>
      </c>
      <c r="E96" s="4" t="s">
        <v>54</v>
      </c>
    </row>
    <row r="97" spans="1:5" ht="16" x14ac:dyDescent="0.2">
      <c r="A97" s="8" t="s">
        <v>177</v>
      </c>
      <c r="B97" s="4">
        <v>9966140</v>
      </c>
      <c r="C97" s="4" t="s">
        <v>335</v>
      </c>
      <c r="D97" s="4" t="s">
        <v>178</v>
      </c>
      <c r="E97" s="4" t="s">
        <v>54</v>
      </c>
    </row>
    <row r="98" spans="1:5" ht="16" x14ac:dyDescent="0.2">
      <c r="A98" s="8" t="s">
        <v>179</v>
      </c>
      <c r="B98" s="4">
        <v>7284354</v>
      </c>
      <c r="C98" s="4" t="s">
        <v>336</v>
      </c>
      <c r="D98" s="4" t="s">
        <v>180</v>
      </c>
      <c r="E98" s="4" t="s">
        <v>54</v>
      </c>
    </row>
    <row r="99" spans="1:5" ht="16" x14ac:dyDescent="0.2">
      <c r="A99" s="6" t="s">
        <v>181</v>
      </c>
      <c r="B99" s="4">
        <v>1843096</v>
      </c>
      <c r="C99" s="4" t="s">
        <v>337</v>
      </c>
      <c r="D99" s="4" t="s">
        <v>182</v>
      </c>
      <c r="E99" s="4" t="s">
        <v>54</v>
      </c>
    </row>
    <row r="100" spans="1:5" ht="16" x14ac:dyDescent="0.2">
      <c r="A100" s="4" t="s">
        <v>183</v>
      </c>
    </row>
    <row r="101" spans="1:5" ht="16" x14ac:dyDescent="0.2">
      <c r="A101" s="6" t="s">
        <v>43</v>
      </c>
      <c r="B101" s="4">
        <v>303965272</v>
      </c>
      <c r="C101" s="4" t="s">
        <v>184</v>
      </c>
      <c r="D101" s="4">
        <v>303965272</v>
      </c>
      <c r="E101" s="4" t="s">
        <v>51</v>
      </c>
    </row>
    <row r="102" spans="1:5" ht="16" x14ac:dyDescent="0.2">
      <c r="A102" s="6" t="s">
        <v>185</v>
      </c>
      <c r="B102" s="4">
        <v>265290260</v>
      </c>
      <c r="C102" s="4" t="s">
        <v>338</v>
      </c>
      <c r="D102" s="4" t="s">
        <v>186</v>
      </c>
      <c r="E102" s="4" t="s">
        <v>54</v>
      </c>
    </row>
    <row r="103" spans="1:5" ht="16" x14ac:dyDescent="0.2">
      <c r="A103" s="7" t="s">
        <v>187</v>
      </c>
      <c r="B103" s="4">
        <v>261246088</v>
      </c>
      <c r="C103" s="4" t="s">
        <v>339</v>
      </c>
      <c r="D103" s="4" t="s">
        <v>188</v>
      </c>
      <c r="E103" s="4" t="s">
        <v>54</v>
      </c>
    </row>
    <row r="104" spans="1:5" ht="16" x14ac:dyDescent="0.2">
      <c r="A104" s="8" t="s">
        <v>189</v>
      </c>
      <c r="B104" s="4">
        <v>178312102</v>
      </c>
      <c r="C104" s="4" t="s">
        <v>340</v>
      </c>
      <c r="D104" s="4" t="s">
        <v>190</v>
      </c>
      <c r="E104" s="4" t="s">
        <v>54</v>
      </c>
    </row>
    <row r="105" spans="1:5" ht="16" x14ac:dyDescent="0.2">
      <c r="A105" s="8" t="s">
        <v>179</v>
      </c>
      <c r="B105" s="4">
        <v>82933986</v>
      </c>
      <c r="C105" s="4" t="s">
        <v>341</v>
      </c>
      <c r="D105" s="4" t="s">
        <v>191</v>
      </c>
      <c r="E105" s="4" t="s">
        <v>54</v>
      </c>
    </row>
    <row r="106" spans="1:5" ht="48" x14ac:dyDescent="0.2">
      <c r="A106" s="7" t="s">
        <v>342</v>
      </c>
      <c r="B106" s="4">
        <v>4044172</v>
      </c>
      <c r="C106" s="4" t="s">
        <v>343</v>
      </c>
      <c r="D106" s="4" t="s">
        <v>192</v>
      </c>
      <c r="E106" s="4" t="s">
        <v>54</v>
      </c>
    </row>
    <row r="107" spans="1:5" ht="16" x14ac:dyDescent="0.2">
      <c r="A107" s="6" t="s">
        <v>193</v>
      </c>
      <c r="B107" s="4">
        <v>38675012</v>
      </c>
      <c r="C107" s="4" t="s">
        <v>344</v>
      </c>
      <c r="D107" s="4" t="s">
        <v>194</v>
      </c>
      <c r="E107" s="4" t="s">
        <v>54</v>
      </c>
    </row>
    <row r="108" spans="1:5" ht="16" x14ac:dyDescent="0.2">
      <c r="A108" s="4" t="s">
        <v>195</v>
      </c>
    </row>
    <row r="109" spans="1:5" ht="16" x14ac:dyDescent="0.2">
      <c r="A109" s="6" t="s">
        <v>196</v>
      </c>
      <c r="B109" s="4">
        <v>38675012</v>
      </c>
      <c r="C109" s="4" t="s">
        <v>344</v>
      </c>
      <c r="D109" s="4">
        <v>38675012</v>
      </c>
      <c r="E109" s="4" t="s">
        <v>51</v>
      </c>
    </row>
    <row r="110" spans="1:5" ht="16" x14ac:dyDescent="0.2">
      <c r="A110" s="6" t="s">
        <v>197</v>
      </c>
      <c r="B110" s="4">
        <v>16653874</v>
      </c>
      <c r="C110" s="4" t="s">
        <v>345</v>
      </c>
      <c r="D110" s="4" t="s">
        <v>198</v>
      </c>
      <c r="E110" s="4" t="s">
        <v>59</v>
      </c>
    </row>
    <row r="111" spans="1:5" ht="16" x14ac:dyDescent="0.2">
      <c r="A111" s="6" t="s">
        <v>199</v>
      </c>
      <c r="B111" s="4">
        <v>22021138</v>
      </c>
      <c r="C111" s="4" t="s">
        <v>346</v>
      </c>
      <c r="D111" s="4" t="s">
        <v>200</v>
      </c>
      <c r="E111" s="4" t="s">
        <v>59</v>
      </c>
    </row>
    <row r="112" spans="1:5" ht="16" x14ac:dyDescent="0.2">
      <c r="A112" s="4" t="s">
        <v>201</v>
      </c>
    </row>
    <row r="113" spans="1:5" ht="32" x14ac:dyDescent="0.2">
      <c r="A113" s="6" t="s">
        <v>202</v>
      </c>
      <c r="B113" s="4">
        <v>42719184</v>
      </c>
      <c r="C113" s="4" t="s">
        <v>347</v>
      </c>
      <c r="D113" s="4">
        <v>42719184</v>
      </c>
      <c r="E113" s="4" t="s">
        <v>51</v>
      </c>
    </row>
    <row r="114" spans="1:5" ht="16" x14ac:dyDescent="0.2">
      <c r="A114" s="6" t="s">
        <v>185</v>
      </c>
      <c r="B114" s="4">
        <v>4044172</v>
      </c>
      <c r="C114" s="4" t="s">
        <v>343</v>
      </c>
      <c r="D114" s="4">
        <v>4044172</v>
      </c>
      <c r="E114" s="4" t="s">
        <v>51</v>
      </c>
    </row>
    <row r="115" spans="1:5" ht="16" x14ac:dyDescent="0.2">
      <c r="A115" s="6" t="s">
        <v>203</v>
      </c>
      <c r="B115" s="4">
        <v>791005</v>
      </c>
      <c r="C115" s="4" t="s">
        <v>348</v>
      </c>
      <c r="D115" s="4" t="s">
        <v>204</v>
      </c>
      <c r="E115" s="4" t="s">
        <v>59</v>
      </c>
    </row>
    <row r="116" spans="1:5" ht="16" x14ac:dyDescent="0.2">
      <c r="A116" s="6" t="s">
        <v>205</v>
      </c>
      <c r="B116" s="4">
        <v>3253167</v>
      </c>
      <c r="C116" s="4" t="s">
        <v>349</v>
      </c>
      <c r="D116" s="4" t="s">
        <v>206</v>
      </c>
      <c r="E116" s="4" t="s">
        <v>59</v>
      </c>
    </row>
    <row r="117" spans="1:5" ht="16" x14ac:dyDescent="0.2">
      <c r="A117" s="6" t="s">
        <v>193</v>
      </c>
      <c r="B117" s="4">
        <v>38675012</v>
      </c>
      <c r="C117" s="4" t="s">
        <v>344</v>
      </c>
      <c r="D117" s="4">
        <v>38675012</v>
      </c>
      <c r="E117" s="4" t="s">
        <v>51</v>
      </c>
    </row>
    <row r="118" spans="1:5" ht="16" x14ac:dyDescent="0.2">
      <c r="A118" s="6" t="s">
        <v>203</v>
      </c>
      <c r="B118" s="4">
        <v>11686589</v>
      </c>
      <c r="C118" s="4" t="s">
        <v>350</v>
      </c>
      <c r="D118" s="4" t="s">
        <v>207</v>
      </c>
      <c r="E118" s="4" t="s">
        <v>54</v>
      </c>
    </row>
    <row r="119" spans="1:5" ht="16" x14ac:dyDescent="0.2">
      <c r="A119" s="6" t="s">
        <v>205</v>
      </c>
      <c r="B119" s="4">
        <v>26988423</v>
      </c>
      <c r="C119" s="4" t="s">
        <v>351</v>
      </c>
      <c r="D119" s="4" t="s">
        <v>208</v>
      </c>
      <c r="E119" s="4" t="s">
        <v>54</v>
      </c>
    </row>
    <row r="120" spans="1:5" ht="32" x14ac:dyDescent="0.2">
      <c r="A120" s="4" t="s">
        <v>209</v>
      </c>
    </row>
    <row r="121" spans="1:5" ht="32" x14ac:dyDescent="0.2">
      <c r="A121" s="6" t="s">
        <v>352</v>
      </c>
      <c r="B121" s="4">
        <v>38674773</v>
      </c>
      <c r="C121" s="4" t="s">
        <v>353</v>
      </c>
      <c r="D121" s="4">
        <v>38674773</v>
      </c>
      <c r="E121" s="4" t="s">
        <v>51</v>
      </c>
    </row>
    <row r="122" spans="1:5" ht="16" x14ac:dyDescent="0.2">
      <c r="A122" s="6" t="s">
        <v>210</v>
      </c>
      <c r="B122" s="4">
        <v>4847078</v>
      </c>
      <c r="C122" s="4" t="s">
        <v>354</v>
      </c>
      <c r="D122" s="4" t="s">
        <v>211</v>
      </c>
      <c r="E122" s="4" t="s">
        <v>54</v>
      </c>
    </row>
    <row r="123" spans="1:5" ht="16" x14ac:dyDescent="0.2">
      <c r="A123" s="6" t="s">
        <v>212</v>
      </c>
      <c r="B123" s="4">
        <v>10747229</v>
      </c>
      <c r="C123" s="4" t="s">
        <v>355</v>
      </c>
      <c r="D123" s="4" t="s">
        <v>213</v>
      </c>
      <c r="E123" s="4" t="s">
        <v>54</v>
      </c>
    </row>
    <row r="124" spans="1:5" ht="16" x14ac:dyDescent="0.2">
      <c r="A124" s="6" t="s">
        <v>214</v>
      </c>
      <c r="B124" s="4">
        <v>1466454</v>
      </c>
      <c r="C124" s="4" t="s">
        <v>356</v>
      </c>
      <c r="D124" s="4" t="s">
        <v>215</v>
      </c>
      <c r="E124" s="4" t="s">
        <v>54</v>
      </c>
    </row>
    <row r="125" spans="1:5" ht="16" x14ac:dyDescent="0.2">
      <c r="A125" s="6" t="s">
        <v>216</v>
      </c>
      <c r="B125" s="4">
        <v>214809</v>
      </c>
      <c r="C125" s="4" t="s">
        <v>357</v>
      </c>
      <c r="D125" s="4" t="s">
        <v>182</v>
      </c>
      <c r="E125" s="4" t="s">
        <v>54</v>
      </c>
    </row>
    <row r="126" spans="1:5" ht="16" x14ac:dyDescent="0.2">
      <c r="A126" s="6" t="s">
        <v>217</v>
      </c>
      <c r="B126" s="4">
        <v>20565108</v>
      </c>
      <c r="C126" s="4" t="s">
        <v>358</v>
      </c>
      <c r="D126" s="4" t="s">
        <v>218</v>
      </c>
      <c r="E126" s="4" t="s">
        <v>54</v>
      </c>
    </row>
    <row r="127" spans="1:5" ht="16" x14ac:dyDescent="0.2">
      <c r="A127" s="6" t="s">
        <v>219</v>
      </c>
      <c r="B127" s="4">
        <v>834095</v>
      </c>
      <c r="C127" s="4" t="s">
        <v>359</v>
      </c>
      <c r="D127" s="4" t="s">
        <v>62</v>
      </c>
      <c r="E127" s="4" t="s">
        <v>54</v>
      </c>
    </row>
    <row r="128" spans="1:5" ht="16" x14ac:dyDescent="0.2">
      <c r="A128" s="4" t="s">
        <v>220</v>
      </c>
    </row>
    <row r="129" spans="1:5" ht="16" x14ac:dyDescent="0.2">
      <c r="A129" s="6" t="s">
        <v>221</v>
      </c>
      <c r="B129" s="4">
        <v>283833852</v>
      </c>
      <c r="C129" s="4" t="s">
        <v>360</v>
      </c>
      <c r="D129" s="4">
        <v>283833852</v>
      </c>
      <c r="E129" s="4" t="s">
        <v>51</v>
      </c>
    </row>
    <row r="130" spans="1:5" ht="16" x14ac:dyDescent="0.2">
      <c r="A130" s="6" t="s">
        <v>222</v>
      </c>
      <c r="B130" s="4">
        <v>226738479</v>
      </c>
      <c r="C130" s="4" t="s">
        <v>361</v>
      </c>
      <c r="D130" s="4" t="s">
        <v>223</v>
      </c>
      <c r="E130" s="4" t="s">
        <v>54</v>
      </c>
    </row>
    <row r="131" spans="1:5" ht="16" x14ac:dyDescent="0.2">
      <c r="A131" s="6" t="s">
        <v>224</v>
      </c>
      <c r="B131" s="4">
        <v>57095373</v>
      </c>
      <c r="C131" s="4" t="s">
        <v>362</v>
      </c>
      <c r="D131" s="4" t="s">
        <v>225</v>
      </c>
      <c r="E131" s="4" t="s">
        <v>54</v>
      </c>
    </row>
    <row r="132" spans="1:5" ht="16" x14ac:dyDescent="0.2">
      <c r="A132" s="7" t="s">
        <v>226</v>
      </c>
      <c r="B132" s="4">
        <v>24704754</v>
      </c>
      <c r="C132" s="4" t="s">
        <v>363</v>
      </c>
      <c r="D132" s="4" t="s">
        <v>145</v>
      </c>
      <c r="E132" s="4" t="s">
        <v>54</v>
      </c>
    </row>
    <row r="133" spans="1:5" ht="16" x14ac:dyDescent="0.2">
      <c r="A133" s="7" t="s">
        <v>227</v>
      </c>
      <c r="B133" s="4">
        <v>35470765</v>
      </c>
      <c r="C133" s="4" t="s">
        <v>364</v>
      </c>
      <c r="D133" s="4" t="s">
        <v>211</v>
      </c>
      <c r="E133" s="4" t="s">
        <v>54</v>
      </c>
    </row>
    <row r="134" spans="1:5" ht="16" x14ac:dyDescent="0.2">
      <c r="A134" s="8" t="s">
        <v>226</v>
      </c>
      <c r="B134" s="4">
        <v>16349067</v>
      </c>
      <c r="C134" s="4" t="s">
        <v>365</v>
      </c>
      <c r="D134" s="4" t="s">
        <v>228</v>
      </c>
      <c r="E134" s="4" t="s">
        <v>54</v>
      </c>
    </row>
    <row r="135" spans="1:5" ht="16" x14ac:dyDescent="0.2">
      <c r="A135" s="7" t="s">
        <v>229</v>
      </c>
      <c r="B135" s="4">
        <v>10393671</v>
      </c>
      <c r="C135" s="4" t="s">
        <v>366</v>
      </c>
      <c r="D135" s="4" t="s">
        <v>230</v>
      </c>
      <c r="E135" s="4" t="s">
        <v>54</v>
      </c>
    </row>
    <row r="136" spans="1:5" ht="16" x14ac:dyDescent="0.2">
      <c r="A136" s="8" t="s">
        <v>226</v>
      </c>
      <c r="B136" s="4">
        <v>3368454</v>
      </c>
      <c r="C136" s="4" t="s">
        <v>367</v>
      </c>
      <c r="D136" s="4" t="s">
        <v>231</v>
      </c>
      <c r="E136" s="4" t="s">
        <v>54</v>
      </c>
    </row>
    <row r="137" spans="1:5" ht="32" x14ac:dyDescent="0.2">
      <c r="A137" s="7" t="s">
        <v>232</v>
      </c>
      <c r="B137" s="4">
        <v>8902093</v>
      </c>
      <c r="C137" s="4" t="s">
        <v>368</v>
      </c>
      <c r="D137" s="4" t="s">
        <v>233</v>
      </c>
      <c r="E137" s="4" t="s">
        <v>54</v>
      </c>
    </row>
    <row r="138" spans="1:5" ht="16" x14ac:dyDescent="0.2">
      <c r="A138" s="8" t="s">
        <v>226</v>
      </c>
      <c r="B138" s="4">
        <v>4278088</v>
      </c>
      <c r="C138" s="4" t="s">
        <v>369</v>
      </c>
      <c r="D138" s="4" t="s">
        <v>234</v>
      </c>
      <c r="E138" s="4" t="s">
        <v>54</v>
      </c>
    </row>
    <row r="139" spans="1:5" ht="16" x14ac:dyDescent="0.2">
      <c r="A139" s="7" t="s">
        <v>235</v>
      </c>
      <c r="B139" s="4">
        <v>2328844</v>
      </c>
      <c r="C139" s="4" t="s">
        <v>370</v>
      </c>
      <c r="D139" s="4" t="s">
        <v>236</v>
      </c>
      <c r="E139" s="4" t="s">
        <v>54</v>
      </c>
    </row>
    <row r="140" spans="1:5" ht="16" x14ac:dyDescent="0.2">
      <c r="A140" s="8" t="s">
        <v>226</v>
      </c>
      <c r="B140" s="4">
        <v>709145</v>
      </c>
      <c r="C140" s="4" t="s">
        <v>371</v>
      </c>
      <c r="D140" s="4" t="s">
        <v>237</v>
      </c>
      <c r="E140" s="4" t="s">
        <v>54</v>
      </c>
    </row>
    <row r="141" spans="1:5" ht="16" x14ac:dyDescent="0.2">
      <c r="A141" s="4" t="s">
        <v>238</v>
      </c>
    </row>
    <row r="142" spans="1:5" ht="16" x14ac:dyDescent="0.2">
      <c r="A142" s="6" t="s">
        <v>43</v>
      </c>
      <c r="B142" s="4" t="s">
        <v>51</v>
      </c>
      <c r="C142" s="4" t="s">
        <v>51</v>
      </c>
      <c r="D142" s="4" t="s">
        <v>51</v>
      </c>
      <c r="E142" s="4" t="s">
        <v>51</v>
      </c>
    </row>
    <row r="143" spans="1:5" ht="16" x14ac:dyDescent="0.2">
      <c r="A143" s="6" t="s">
        <v>239</v>
      </c>
      <c r="B143" s="4" t="s">
        <v>51</v>
      </c>
      <c r="C143" s="4" t="s">
        <v>51</v>
      </c>
      <c r="D143" s="4" t="s">
        <v>51</v>
      </c>
      <c r="E143" s="4" t="s">
        <v>51</v>
      </c>
    </row>
    <row r="144" spans="1:5" ht="16" x14ac:dyDescent="0.2">
      <c r="A144" s="6" t="s">
        <v>240</v>
      </c>
      <c r="B144" s="4" t="s">
        <v>51</v>
      </c>
      <c r="C144" s="4" t="s">
        <v>51</v>
      </c>
      <c r="D144" s="4" t="s">
        <v>51</v>
      </c>
      <c r="E144" s="4" t="s">
        <v>51</v>
      </c>
    </row>
    <row r="145" spans="1:5" ht="16" x14ac:dyDescent="0.2">
      <c r="A145" s="6" t="s">
        <v>241</v>
      </c>
      <c r="B145" s="4" t="s">
        <v>51</v>
      </c>
      <c r="C145" s="4" t="s">
        <v>51</v>
      </c>
      <c r="D145" s="4" t="s">
        <v>51</v>
      </c>
      <c r="E145" s="4" t="s">
        <v>51</v>
      </c>
    </row>
    <row r="146" spans="1:5" ht="16" x14ac:dyDescent="0.2">
      <c r="A146" s="6" t="s">
        <v>242</v>
      </c>
      <c r="B146" s="4" t="s">
        <v>51</v>
      </c>
      <c r="C146" s="4" t="s">
        <v>51</v>
      </c>
      <c r="D146" s="4" t="s">
        <v>51</v>
      </c>
      <c r="E146" s="4" t="s">
        <v>51</v>
      </c>
    </row>
    <row r="147" spans="1:5" ht="16" x14ac:dyDescent="0.2">
      <c r="A147" s="6" t="s">
        <v>243</v>
      </c>
      <c r="B147" s="4" t="s">
        <v>51</v>
      </c>
      <c r="C147" s="4" t="s">
        <v>51</v>
      </c>
      <c r="D147" s="4" t="s">
        <v>51</v>
      </c>
      <c r="E147" s="4" t="s">
        <v>51</v>
      </c>
    </row>
    <row r="148" spans="1:5" ht="16" x14ac:dyDescent="0.2">
      <c r="A148" s="6" t="s">
        <v>244</v>
      </c>
      <c r="B148" s="4" t="s">
        <v>51</v>
      </c>
      <c r="C148" s="4" t="s">
        <v>51</v>
      </c>
      <c r="D148" s="4" t="s">
        <v>51</v>
      </c>
      <c r="E148" s="4" t="s">
        <v>51</v>
      </c>
    </row>
    <row r="149" spans="1:5" ht="16" x14ac:dyDescent="0.2">
      <c r="A149" s="6" t="s">
        <v>245</v>
      </c>
      <c r="B149" s="4" t="s">
        <v>51</v>
      </c>
      <c r="C149" s="4" t="s">
        <v>51</v>
      </c>
      <c r="D149" s="4" t="s">
        <v>51</v>
      </c>
      <c r="E149" s="4" t="s">
        <v>51</v>
      </c>
    </row>
    <row r="150" spans="1:5" ht="16" x14ac:dyDescent="0.2">
      <c r="A150" s="6" t="s">
        <v>246</v>
      </c>
      <c r="B150" s="4" t="s">
        <v>51</v>
      </c>
      <c r="C150" s="4" t="s">
        <v>51</v>
      </c>
      <c r="D150" s="4" t="s">
        <v>51</v>
      </c>
      <c r="E150" s="4" t="s">
        <v>51</v>
      </c>
    </row>
    <row r="151" spans="1:5" ht="16" x14ac:dyDescent="0.2">
      <c r="A151" s="6" t="s">
        <v>247</v>
      </c>
      <c r="B151" s="4" t="s">
        <v>51</v>
      </c>
      <c r="C151" s="4" t="s">
        <v>51</v>
      </c>
      <c r="D151" s="4" t="s">
        <v>51</v>
      </c>
      <c r="E151" s="4" t="s">
        <v>51</v>
      </c>
    </row>
    <row r="152" spans="1:5" ht="16" x14ac:dyDescent="0.2">
      <c r="A152" s="6" t="s">
        <v>248</v>
      </c>
      <c r="B152" s="4" t="s">
        <v>51</v>
      </c>
      <c r="C152" s="4" t="s">
        <v>51</v>
      </c>
      <c r="D152" s="4" t="s">
        <v>51</v>
      </c>
      <c r="E152" s="4" t="s">
        <v>51</v>
      </c>
    </row>
    <row r="153" spans="1:5" ht="16" x14ac:dyDescent="0.2">
      <c r="A153" s="6" t="s">
        <v>249</v>
      </c>
      <c r="B153" s="4" t="s">
        <v>51</v>
      </c>
      <c r="C153" s="4" t="s">
        <v>51</v>
      </c>
      <c r="D153" s="4" t="s">
        <v>51</v>
      </c>
      <c r="E153" s="4" t="s">
        <v>51</v>
      </c>
    </row>
    <row r="154" spans="1:5" ht="16" x14ac:dyDescent="0.2">
      <c r="A154" s="6" t="s">
        <v>250</v>
      </c>
      <c r="B154" s="4" t="s">
        <v>51</v>
      </c>
      <c r="C154" s="4" t="s">
        <v>51</v>
      </c>
      <c r="D154" s="4" t="s">
        <v>51</v>
      </c>
      <c r="E154" s="4" t="s">
        <v>51</v>
      </c>
    </row>
    <row r="155" spans="1:5" ht="16" x14ac:dyDescent="0.2">
      <c r="A155" s="6" t="s">
        <v>251</v>
      </c>
      <c r="B155" s="4" t="s">
        <v>51</v>
      </c>
      <c r="C155" s="4" t="s">
        <v>51</v>
      </c>
      <c r="D155" s="4" t="s">
        <v>51</v>
      </c>
      <c r="E155" s="4" t="s">
        <v>51</v>
      </c>
    </row>
    <row r="156" spans="1:5" ht="16" x14ac:dyDescent="0.2">
      <c r="A156" s="6" t="s">
        <v>252</v>
      </c>
      <c r="B156" s="4" t="s">
        <v>51</v>
      </c>
      <c r="C156" s="4" t="s">
        <v>51</v>
      </c>
      <c r="D156" s="4" t="s">
        <v>51</v>
      </c>
      <c r="E156" s="4" t="s">
        <v>51</v>
      </c>
    </row>
    <row r="157" spans="1:5" ht="16" x14ac:dyDescent="0.2">
      <c r="A157" s="6" t="s">
        <v>253</v>
      </c>
      <c r="B157" s="4" t="s">
        <v>51</v>
      </c>
      <c r="C157" s="4" t="s">
        <v>51</v>
      </c>
      <c r="D157" s="4" t="s">
        <v>51</v>
      </c>
      <c r="E157" s="4" t="s">
        <v>51</v>
      </c>
    </row>
    <row r="158" spans="1:5" ht="16" x14ac:dyDescent="0.2">
      <c r="A158" s="6" t="s">
        <v>254</v>
      </c>
      <c r="B158" s="4" t="s">
        <v>51</v>
      </c>
      <c r="C158" s="4" t="s">
        <v>51</v>
      </c>
      <c r="D158" s="4" t="s">
        <v>51</v>
      </c>
      <c r="E158" s="4" t="s">
        <v>51</v>
      </c>
    </row>
    <row r="159" spans="1:5" ht="16" x14ac:dyDescent="0.2">
      <c r="A159" s="6" t="s">
        <v>255</v>
      </c>
      <c r="B159" s="4" t="s">
        <v>51</v>
      </c>
      <c r="C159" s="4" t="s">
        <v>51</v>
      </c>
      <c r="D159" s="4" t="s">
        <v>51</v>
      </c>
      <c r="E159" s="4" t="s">
        <v>51</v>
      </c>
    </row>
    <row r="160" spans="1:5" ht="16" x14ac:dyDescent="0.2">
      <c r="A160" s="6" t="s">
        <v>256</v>
      </c>
      <c r="B160" s="4" t="s">
        <v>51</v>
      </c>
      <c r="C160" s="4" t="s">
        <v>51</v>
      </c>
      <c r="D160" s="4" t="s">
        <v>51</v>
      </c>
      <c r="E160" s="4" t="s">
        <v>51</v>
      </c>
    </row>
    <row r="161" spans="1:5" ht="16" x14ac:dyDescent="0.2">
      <c r="A161" s="6" t="s">
        <v>257</v>
      </c>
      <c r="B161" s="4" t="s">
        <v>51</v>
      </c>
      <c r="C161" s="4" t="s">
        <v>51</v>
      </c>
      <c r="D161" s="4" t="s">
        <v>51</v>
      </c>
      <c r="E161" s="4" t="s">
        <v>51</v>
      </c>
    </row>
    <row r="162" spans="1:5" ht="16" x14ac:dyDescent="0.2">
      <c r="A162" s="6" t="s">
        <v>258</v>
      </c>
      <c r="B162" s="4" t="s">
        <v>51</v>
      </c>
      <c r="C162" s="4" t="s">
        <v>51</v>
      </c>
      <c r="D162" s="4" t="s">
        <v>51</v>
      </c>
      <c r="E162" s="4" t="s">
        <v>51</v>
      </c>
    </row>
    <row r="163" spans="1:5" ht="16" x14ac:dyDescent="0.2">
      <c r="A163" s="6" t="s">
        <v>259</v>
      </c>
      <c r="B163" s="4" t="s">
        <v>51</v>
      </c>
      <c r="C163" s="4" t="s">
        <v>51</v>
      </c>
      <c r="D163" s="4" t="s">
        <v>51</v>
      </c>
      <c r="E163" s="4" t="s">
        <v>51</v>
      </c>
    </row>
    <row r="164" spans="1:5" ht="16" x14ac:dyDescent="0.2">
      <c r="A164" s="6" t="s">
        <v>260</v>
      </c>
      <c r="B164" s="4" t="s">
        <v>51</v>
      </c>
      <c r="C164" s="4" t="s">
        <v>51</v>
      </c>
      <c r="D164" s="4" t="s">
        <v>51</v>
      </c>
      <c r="E164" s="4" t="s">
        <v>51</v>
      </c>
    </row>
    <row r="165" spans="1:5" ht="16" x14ac:dyDescent="0.2">
      <c r="A165" s="6" t="s">
        <v>261</v>
      </c>
      <c r="B165" s="4" t="s">
        <v>51</v>
      </c>
      <c r="C165" s="4" t="s">
        <v>51</v>
      </c>
      <c r="D165" s="4" t="s">
        <v>51</v>
      </c>
      <c r="E165" s="4" t="s">
        <v>51</v>
      </c>
    </row>
    <row r="166" spans="1:5" ht="16" x14ac:dyDescent="0.2">
      <c r="A166" s="6" t="s">
        <v>262</v>
      </c>
      <c r="B166" s="4" t="s">
        <v>51</v>
      </c>
      <c r="C166" s="4" t="s">
        <v>51</v>
      </c>
      <c r="D166" s="4" t="s">
        <v>51</v>
      </c>
      <c r="E166" s="4" t="s">
        <v>51</v>
      </c>
    </row>
    <row r="167" spans="1:5" ht="16" x14ac:dyDescent="0.2">
      <c r="A167" s="6" t="s">
        <v>263</v>
      </c>
      <c r="B167" s="4" t="s">
        <v>51</v>
      </c>
      <c r="C167" s="4" t="s">
        <v>51</v>
      </c>
      <c r="D167" s="4" t="s">
        <v>51</v>
      </c>
      <c r="E167" s="4" t="s">
        <v>51</v>
      </c>
    </row>
    <row r="168" spans="1:5" ht="16" x14ac:dyDescent="0.2">
      <c r="A168" s="6" t="s">
        <v>264</v>
      </c>
      <c r="B168" s="4" t="s">
        <v>51</v>
      </c>
      <c r="C168" s="4" t="s">
        <v>51</v>
      </c>
      <c r="D168" s="4" t="s">
        <v>51</v>
      </c>
      <c r="E168" s="4" t="s">
        <v>51</v>
      </c>
    </row>
    <row r="169" spans="1:5" ht="32" x14ac:dyDescent="0.2">
      <c r="A169" s="6" t="s">
        <v>265</v>
      </c>
      <c r="B169" s="4" t="s">
        <v>51</v>
      </c>
      <c r="C169" s="4" t="s">
        <v>51</v>
      </c>
      <c r="D169" s="4" t="s">
        <v>51</v>
      </c>
      <c r="E169" s="4" t="s">
        <v>51</v>
      </c>
    </row>
  </sheetData>
  <mergeCells count="2">
    <mergeCell ref="B1:E1"/>
    <mergeCell ref="B2:E2"/>
  </mergeCells>
  <printOptions gridLines="1"/>
  <pageMargins left="0.7" right="0.7" top="0.75" bottom="0.75" header="0.3" footer="0.3"/>
  <pageSetup pageOrder="overThenDown" orientation="landscape"/>
  <headerFooter>
    <oddHeader>&amp;LTable: ACSDP5YSPT2010.DP02</oddHeader>
    <oddFooter>&amp;L&amp;Bdata.census.gov&amp;B | Measuring America's People, Places, and Economy &amp;R&amp;P</oddFooter>
    <evenHeader>&amp;LTable: ACSDP5YSPT2010.DP02</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2026-03-13T19:20:34Z</dcterms:created>
  <dcterms:modified xsi:type="dcterms:W3CDTF">2026-03-13T19:49:08Z</dcterms:modified>
</cp:coreProperties>
</file>