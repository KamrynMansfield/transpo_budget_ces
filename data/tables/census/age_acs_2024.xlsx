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filterPrivacy="1"/>
  <xr:revisionPtr revIDLastSave="0" documentId="13_ncr:1_{50FB3EB4-E9C8-F543-8172-4A0B7AB8AEFF}" xr6:coauthVersionLast="47" xr6:coauthVersionMax="47" xr10:uidLastSave="{00000000-0000-0000-0000-000000000000}"/>
  <bookViews>
    <workbookView xWindow="0" yWindow="600" windowWidth="38400" windowHeight="19200" activeTab="1" xr2:uid="{00000000-000D-0000-FFFF-FFFF00000000}"/>
  </bookViews>
  <sheets>
    <sheet name="Information" sheetId="1" r:id="rId1"/>
    <sheet name="Data" sheetId="2" r:id="rId2"/>
  </sheets>
  <definedNames>
    <definedName name="_xlnm.Print_Titles" localSheetId="1">Data!$A:$A,Data!$1:$3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2" l="1"/>
  <c r="N11" i="2"/>
  <c r="N12" i="2"/>
  <c r="N9" i="2"/>
  <c r="K14" i="2"/>
  <c r="M10" i="2"/>
  <c r="M11" i="2"/>
  <c r="M12" i="2"/>
  <c r="M9" i="2"/>
  <c r="L9" i="2"/>
  <c r="L10" i="2"/>
  <c r="L11" i="2"/>
  <c r="L12" i="2"/>
  <c r="K12" i="2"/>
  <c r="K11" i="2"/>
  <c r="K10" i="2"/>
  <c r="K9" i="2"/>
</calcChain>
</file>

<file path=xl/sharedStrings.xml><?xml version="1.0" encoding="utf-8"?>
<sst xmlns="http://schemas.openxmlformats.org/spreadsheetml/2006/main" count="208" uniqueCount="143">
  <si>
    <t>Age and Sex</t>
  </si>
  <si>
    <t>Note: The table shown may have been modified by user selections. Some information may be missing.</t>
  </si>
  <si>
    <t>DATA NOTES</t>
  </si>
  <si>
    <t/>
  </si>
  <si>
    <t>TABLE ID:</t>
  </si>
  <si>
    <t>S0101</t>
  </si>
  <si>
    <t>SURVEY/PROGRAM:</t>
  </si>
  <si>
    <t>American Community Survey</t>
  </si>
  <si>
    <t>VINTAGE:</t>
  </si>
  <si>
    <t>2024</t>
  </si>
  <si>
    <t>DATASET:</t>
  </si>
  <si>
    <t>ACSST1Y2024</t>
  </si>
  <si>
    <t>PRODUCT:</t>
  </si>
  <si>
    <t>ACS 1-Year Estimates Subject Tables</t>
  </si>
  <si>
    <t>UNIVERSE:</t>
  </si>
  <si>
    <t>None</t>
  </si>
  <si>
    <t>MLA:</t>
  </si>
  <si>
    <t>U.S. Census Bureau. "Age and Sex." American Community Survey, ACS 1-Year Estimates Subject Tables, Table S0101, https://data.census.gov/table/ACSST1Y2024.S0101?moe=false. Accessed on 13 Mar 2026.</t>
  </si>
  <si>
    <t>FTP URL:</t>
  </si>
  <si>
    <t>API URL:</t>
  </si>
  <si>
    <t>https://api.census.gov/data/2024/acs/acs1/subject</t>
  </si>
  <si>
    <t>USER SELECTIONS</t>
  </si>
  <si>
    <t>EXCLUDED COLUMNS</t>
  </si>
  <si>
    <t>United States!!Total!!Margin of Error</t>
  </si>
  <si>
    <t>United States!!Percent!!Margin of Error</t>
  </si>
  <si>
    <t>United States!!Male!!Margin of Error</t>
  </si>
  <si>
    <t>United States!!Percent Male!!Margin of Error</t>
  </si>
  <si>
    <t>United States!!Female!!Margin of Error</t>
  </si>
  <si>
    <t>United States!!Percent Female!!Margin of Error</t>
  </si>
  <si>
    <t>APPLIED FILTERS</t>
  </si>
  <si>
    <t>APPLIED SORTS</t>
  </si>
  <si>
    <t>PIVOT &amp; GROUPING</t>
  </si>
  <si>
    <t>PIVOT COLUMNS</t>
  </si>
  <si>
    <t>PIVOT MODE</t>
  </si>
  <si>
    <t>Off</t>
  </si>
  <si>
    <t>ROW GROUPS</t>
  </si>
  <si>
    <t>VALUE COLUMNS</t>
  </si>
  <si>
    <t>WEB ADDRESS</t>
  </si>
  <si>
    <t>https://data.census.gov/table/ACSST1Y2024.S0101?moe=false</t>
  </si>
  <si>
    <t>TABLE NOTES</t>
  </si>
  <si>
    <t>Key Table Information</t>
  </si>
  <si>
    <t>Table Title</t>
  </si>
  <si>
    <t>Table ID</t>
  </si>
  <si>
    <t>ACSST1Y2024.S0101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</si>
  <si>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</si>
  <si>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</si>
  <si>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</si>
  <si>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</si>
  <si>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</si>
  <si>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</si>
  <si>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</si>
  <si>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</si>
  <si>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</si>
  <si>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</si>
  <si>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</si>
  <si>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</si>
  <si>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</si>
  <si>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</si>
  <si>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</si>
  <si>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</si>
  <si>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</si>
  <si>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</si>
  <si>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</si>
  <si>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</si>
  <si>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</si>
  <si>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</si>
  <si>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</si>
  <si>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</si>
  <si>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</si>
  <si>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</si>
  <si>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The age dependency ratio is derived by dividing the combined under-18 and 65-and-over populations by the 18-to-64 population and multiplying by 100.
The old-age dependency ratio is derived by dividing the population 65 and over by the 18-to-64 population and multiplying by 100.
The child dependency ratio is derived by dividing the population under 18 by the 18-to-64 population and multiplying by 100.
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</si>
  <si>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Additional Information</t>
  </si>
  <si>
    <t>Contact Information</t>
  </si>
  <si>
    <t>Contact the Census Bureau Customer Help Center at 1-800-923-8282 or submit a question at ask.census.gov.</t>
  </si>
  <si>
    <t>Suggested Citation</t>
  </si>
  <si>
    <t>U.S. Census Bureau. "Age and Sex" American Community Survey, ACS 1-Year Estimates Subject Tables, Table S0101, 2024, https://data.census.gov/table/ACSST1Y2024.S0101?q=S0101: Accessed on March 13, 2026.</t>
  </si>
  <si>
    <t>COLUMN NOTES</t>
  </si>
  <si>
    <t>United States</t>
  </si>
  <si>
    <t>Total</t>
  </si>
  <si>
    <t>Percent</t>
  </si>
  <si>
    <t>Male</t>
  </si>
  <si>
    <t>Percent Male</t>
  </si>
  <si>
    <t>Female</t>
  </si>
  <si>
    <t>Percent Female</t>
  </si>
  <si>
    <t>Label</t>
  </si>
  <si>
    <t>Estimate</t>
  </si>
  <si>
    <t>Total population</t>
  </si>
  <si>
    <t>(X)</t>
  </si>
  <si>
    <t>AGE</t>
  </si>
  <si>
    <t>Under 5 years</t>
  </si>
  <si>
    <t>5 to 9 years</t>
  </si>
  <si>
    <t>10 to 14 years</t>
  </si>
  <si>
    <t>15 to 19 years</t>
  </si>
  <si>
    <t>20 to 24 years</t>
  </si>
  <si>
    <t>25 to 29 years</t>
  </si>
  <si>
    <t>30 to 34 years</t>
  </si>
  <si>
    <t>35 to 39 years</t>
  </si>
  <si>
    <t>40 to 44 years</t>
  </si>
  <si>
    <t>45 to 49 years</t>
  </si>
  <si>
    <t>50 to 54 years</t>
  </si>
  <si>
    <t>55 to 59 years</t>
  </si>
  <si>
    <t>60 to 64 years</t>
  </si>
  <si>
    <t>65 to 69 years</t>
  </si>
  <si>
    <t>70 to 74 years</t>
  </si>
  <si>
    <t>75 to 79 years</t>
  </si>
  <si>
    <t>80 to 84 years</t>
  </si>
  <si>
    <t>85 years and over</t>
  </si>
  <si>
    <t>SELECTED AGE CATEGORIES</t>
  </si>
  <si>
    <t>5 to 14 years</t>
  </si>
  <si>
    <t>15 to 17 years</t>
  </si>
  <si>
    <t>Under 18 years</t>
  </si>
  <si>
    <t>18 to 24 years</t>
  </si>
  <si>
    <t>15 to 44 years</t>
  </si>
  <si>
    <t>16 years and over</t>
  </si>
  <si>
    <t>18 years and over</t>
  </si>
  <si>
    <t>21 years and over</t>
  </si>
  <si>
    <t>60 years and over</t>
  </si>
  <si>
    <t>62 years and over</t>
  </si>
  <si>
    <t>65 years and over</t>
  </si>
  <si>
    <t>75 years and over</t>
  </si>
  <si>
    <t>SUMMARY INDICATORS</t>
  </si>
  <si>
    <t>Median age (years)</t>
  </si>
  <si>
    <t>39.2</t>
  </si>
  <si>
    <t>38.1</t>
  </si>
  <si>
    <t>40.3</t>
  </si>
  <si>
    <t>Sex ratio (males per 100 females)</t>
  </si>
  <si>
    <t>97.9</t>
  </si>
  <si>
    <t>Age dependency ratio</t>
  </si>
  <si>
    <t>65.2</t>
  </si>
  <si>
    <t>Old-age dependency ratio</t>
  </si>
  <si>
    <t>29.7</t>
  </si>
  <si>
    <t>Child dependency ratio</t>
  </si>
  <si>
    <t>35.4</t>
  </si>
  <si>
    <t>PERCENT ALLOCATED</t>
  </si>
  <si>
    <t>Sex</t>
  </si>
  <si>
    <t>Age</t>
  </si>
  <si>
    <t>18 - 34</t>
  </si>
  <si>
    <t>35 - 44</t>
  </si>
  <si>
    <t>45 - 54</t>
  </si>
  <si>
    <t>54+</t>
  </si>
  <si>
    <t>decimal</t>
  </si>
  <si>
    <t>percent of this group</t>
  </si>
  <si>
    <t>percent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</si>
</sst>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62"/>
  <sheetViews>
    <sheetView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8" t="s">
        <v>0</v>
      </c>
      <c r="B1" s="8"/>
      <c r="C1" s="2"/>
    </row>
    <row r="2" spans="1:3" x14ac:dyDescent="0.2">
      <c r="A2" s="9"/>
      <c r="B2" s="9"/>
      <c r="C2" s="9"/>
    </row>
    <row r="3" spans="1:3" x14ac:dyDescent="0.2">
      <c r="A3" s="10" t="s">
        <v>1</v>
      </c>
      <c r="B3" s="10"/>
      <c r="C3" s="10"/>
    </row>
    <row r="4" spans="1:3" x14ac:dyDescent="0.2">
      <c r="A4" s="9"/>
      <c r="B4" s="9"/>
      <c r="C4" s="9"/>
    </row>
    <row r="5" spans="1:3" ht="21.25" customHeight="1" x14ac:dyDescent="0.2">
      <c r="A5" s="3" t="s">
        <v>2</v>
      </c>
      <c r="B5" s="9" t="s">
        <v>3</v>
      </c>
      <c r="C5" s="9"/>
    </row>
    <row r="6" spans="1:3" ht="21.25" customHeight="1" x14ac:dyDescent="0.2">
      <c r="A6" s="1" t="s">
        <v>4</v>
      </c>
      <c r="B6" s="9" t="s">
        <v>5</v>
      </c>
      <c r="C6" s="9"/>
    </row>
    <row r="7" spans="1:3" ht="21.25" customHeight="1" x14ac:dyDescent="0.2">
      <c r="A7" s="1" t="s">
        <v>6</v>
      </c>
      <c r="B7" s="9" t="s">
        <v>7</v>
      </c>
      <c r="C7" s="9"/>
    </row>
    <row r="8" spans="1:3" ht="21.25" customHeight="1" x14ac:dyDescent="0.2">
      <c r="A8" s="1" t="s">
        <v>8</v>
      </c>
      <c r="B8" s="9" t="s">
        <v>9</v>
      </c>
      <c r="C8" s="9"/>
    </row>
    <row r="9" spans="1:3" ht="21.25" customHeight="1" x14ac:dyDescent="0.2">
      <c r="A9" s="1" t="s">
        <v>10</v>
      </c>
      <c r="B9" s="9" t="s">
        <v>11</v>
      </c>
      <c r="C9" s="9"/>
    </row>
    <row r="10" spans="1:3" ht="21.25" customHeight="1" x14ac:dyDescent="0.2">
      <c r="A10" s="1" t="s">
        <v>12</v>
      </c>
      <c r="B10" s="9" t="s">
        <v>13</v>
      </c>
      <c r="C10" s="9"/>
    </row>
    <row r="11" spans="1:3" ht="21.25" customHeight="1" x14ac:dyDescent="0.2">
      <c r="A11" s="1" t="s">
        <v>14</v>
      </c>
      <c r="B11" s="9" t="s">
        <v>15</v>
      </c>
      <c r="C11" s="9"/>
    </row>
    <row r="12" spans="1:3" ht="64" customHeight="1" x14ac:dyDescent="0.2">
      <c r="A12" s="1" t="s">
        <v>16</v>
      </c>
      <c r="B12" s="9" t="s">
        <v>17</v>
      </c>
      <c r="C12" s="9"/>
    </row>
    <row r="13" spans="1:3" ht="21.25" customHeight="1" x14ac:dyDescent="0.2">
      <c r="A13" s="1" t="s">
        <v>18</v>
      </c>
      <c r="B13" s="9" t="s">
        <v>15</v>
      </c>
      <c r="C13" s="9"/>
    </row>
    <row r="14" spans="1:3" ht="21.25" customHeight="1" x14ac:dyDescent="0.2">
      <c r="A14" s="1" t="s">
        <v>19</v>
      </c>
      <c r="B14" s="9" t="s">
        <v>20</v>
      </c>
      <c r="C14" s="9"/>
    </row>
    <row r="15" spans="1:3" x14ac:dyDescent="0.2">
      <c r="A15" s="9"/>
      <c r="B15" s="9"/>
      <c r="C15" s="9"/>
    </row>
    <row r="16" spans="1:3" ht="21.25" customHeight="1" x14ac:dyDescent="0.2">
      <c r="A16" s="3" t="s">
        <v>21</v>
      </c>
      <c r="B16" s="9" t="s">
        <v>15</v>
      </c>
      <c r="C16" s="9"/>
    </row>
    <row r="17" spans="1:3" x14ac:dyDescent="0.2">
      <c r="A17" s="9"/>
      <c r="B17" s="9"/>
      <c r="C17" s="9"/>
    </row>
    <row r="18" spans="1:3" ht="21.25" customHeight="1" x14ac:dyDescent="0.2">
      <c r="A18" s="3" t="s">
        <v>22</v>
      </c>
      <c r="B18" s="9" t="s">
        <v>23</v>
      </c>
      <c r="C18" s="9"/>
    </row>
    <row r="19" spans="1:3" ht="21.25" customHeight="1" x14ac:dyDescent="0.2">
      <c r="A19" s="1" t="s">
        <v>3</v>
      </c>
      <c r="B19" s="9" t="s">
        <v>24</v>
      </c>
      <c r="C19" s="9"/>
    </row>
    <row r="20" spans="1:3" ht="21.25" customHeight="1" x14ac:dyDescent="0.2">
      <c r="A20" s="1" t="s">
        <v>3</v>
      </c>
      <c r="B20" s="9" t="s">
        <v>25</v>
      </c>
      <c r="C20" s="9"/>
    </row>
    <row r="21" spans="1:3" ht="21.25" customHeight="1" x14ac:dyDescent="0.2">
      <c r="A21" s="1" t="s">
        <v>3</v>
      </c>
      <c r="B21" s="9" t="s">
        <v>26</v>
      </c>
      <c r="C21" s="9"/>
    </row>
    <row r="22" spans="1:3" ht="21.25" customHeight="1" x14ac:dyDescent="0.2">
      <c r="A22" s="1" t="s">
        <v>3</v>
      </c>
      <c r="B22" s="9" t="s">
        <v>27</v>
      </c>
      <c r="C22" s="9"/>
    </row>
    <row r="23" spans="1:3" ht="21.25" customHeight="1" x14ac:dyDescent="0.2">
      <c r="A23" s="1" t="s">
        <v>3</v>
      </c>
      <c r="B23" s="9" t="s">
        <v>28</v>
      </c>
      <c r="C23" s="9"/>
    </row>
    <row r="24" spans="1:3" x14ac:dyDescent="0.2">
      <c r="A24" s="9"/>
      <c r="B24" s="9"/>
      <c r="C24" s="9"/>
    </row>
    <row r="25" spans="1:3" ht="21.25" customHeight="1" x14ac:dyDescent="0.2">
      <c r="A25" s="3" t="s">
        <v>29</v>
      </c>
      <c r="B25" s="9" t="s">
        <v>15</v>
      </c>
      <c r="C25" s="9"/>
    </row>
    <row r="26" spans="1:3" x14ac:dyDescent="0.2">
      <c r="A26" s="9"/>
      <c r="B26" s="9"/>
      <c r="C26" s="9"/>
    </row>
    <row r="27" spans="1:3" ht="21.25" customHeight="1" x14ac:dyDescent="0.2">
      <c r="A27" s="3" t="s">
        <v>30</v>
      </c>
      <c r="B27" s="9" t="s">
        <v>15</v>
      </c>
      <c r="C27" s="9"/>
    </row>
    <row r="28" spans="1:3" x14ac:dyDescent="0.2">
      <c r="A28" s="9"/>
      <c r="B28" s="9"/>
      <c r="C28" s="9"/>
    </row>
    <row r="29" spans="1:3" ht="21.25" customHeight="1" x14ac:dyDescent="0.2">
      <c r="A29" s="3" t="s">
        <v>31</v>
      </c>
      <c r="B29" s="9" t="s">
        <v>3</v>
      </c>
      <c r="C29" s="9"/>
    </row>
    <row r="30" spans="1:3" ht="21.25" customHeight="1" x14ac:dyDescent="0.2">
      <c r="A30" s="1" t="s">
        <v>32</v>
      </c>
      <c r="B30" s="9" t="s">
        <v>15</v>
      </c>
      <c r="C30" s="9"/>
    </row>
    <row r="31" spans="1:3" ht="21.25" customHeight="1" x14ac:dyDescent="0.2">
      <c r="A31" s="1" t="s">
        <v>33</v>
      </c>
      <c r="B31" s="9" t="s">
        <v>34</v>
      </c>
      <c r="C31" s="9"/>
    </row>
    <row r="32" spans="1:3" ht="21.25" customHeight="1" x14ac:dyDescent="0.2">
      <c r="A32" s="1" t="s">
        <v>35</v>
      </c>
      <c r="B32" s="9" t="s">
        <v>15</v>
      </c>
      <c r="C32" s="9"/>
    </row>
    <row r="33" spans="1:3" ht="21.25" customHeight="1" x14ac:dyDescent="0.2">
      <c r="A33" s="1" t="s">
        <v>36</v>
      </c>
      <c r="B33" s="9" t="s">
        <v>15</v>
      </c>
      <c r="C33" s="9"/>
    </row>
    <row r="34" spans="1:3" x14ac:dyDescent="0.2">
      <c r="A34" s="9"/>
      <c r="B34" s="9"/>
      <c r="C34" s="9"/>
    </row>
    <row r="35" spans="1:3" ht="21.25" customHeight="1" x14ac:dyDescent="0.2">
      <c r="A35" s="3" t="s">
        <v>37</v>
      </c>
      <c r="B35" s="9" t="s">
        <v>38</v>
      </c>
      <c r="C35" s="9"/>
    </row>
    <row r="36" spans="1:3" x14ac:dyDescent="0.2">
      <c r="A36" s="9"/>
      <c r="B36" s="9"/>
      <c r="C36" s="9"/>
    </row>
    <row r="37" spans="1:3" ht="21.25" customHeight="1" x14ac:dyDescent="0.2">
      <c r="A37" s="3" t="s">
        <v>39</v>
      </c>
      <c r="B37" s="9" t="s">
        <v>3</v>
      </c>
      <c r="C37" s="9"/>
    </row>
    <row r="38" spans="1:3" ht="21.25" customHeight="1" x14ac:dyDescent="0.2">
      <c r="A38" s="1" t="s">
        <v>40</v>
      </c>
      <c r="B38" s="9" t="s">
        <v>3</v>
      </c>
      <c r="C38" s="9"/>
    </row>
    <row r="39" spans="1:3" ht="21.25" customHeight="1" x14ac:dyDescent="0.2">
      <c r="A39" s="1" t="s">
        <v>41</v>
      </c>
      <c r="B39" s="9" t="s">
        <v>0</v>
      </c>
      <c r="C39" s="9"/>
    </row>
    <row r="40" spans="1:3" ht="21.25" customHeight="1" x14ac:dyDescent="0.2">
      <c r="A40" s="1" t="s">
        <v>42</v>
      </c>
      <c r="B40" s="9" t="s">
        <v>43</v>
      </c>
      <c r="C40" s="9"/>
    </row>
    <row r="41" spans="1:3" ht="21.25" customHeight="1" x14ac:dyDescent="0.2">
      <c r="A41" s="1" t="s">
        <v>44</v>
      </c>
      <c r="B41" s="9" t="s">
        <v>7</v>
      </c>
      <c r="C41" s="9"/>
    </row>
    <row r="42" spans="1:3" ht="21.25" customHeight="1" x14ac:dyDescent="0.2">
      <c r="A42" s="1" t="s">
        <v>45</v>
      </c>
      <c r="B42" s="9" t="s">
        <v>9</v>
      </c>
      <c r="C42" s="9"/>
    </row>
    <row r="43" spans="1:3" ht="21.25" customHeight="1" x14ac:dyDescent="0.2">
      <c r="A43" s="1" t="s">
        <v>46</v>
      </c>
      <c r="B43" s="9" t="s">
        <v>13</v>
      </c>
      <c r="C43" s="9"/>
    </row>
    <row r="44" spans="1:3" ht="42.75" customHeight="1" x14ac:dyDescent="0.2">
      <c r="A44" s="1" t="s">
        <v>47</v>
      </c>
      <c r="B44" s="9" t="s">
        <v>48</v>
      </c>
      <c r="C44" s="9"/>
    </row>
    <row r="45" spans="1:3" ht="64" customHeight="1" x14ac:dyDescent="0.2">
      <c r="A45" s="1" t="s">
        <v>49</v>
      </c>
      <c r="B45" s="9" t="s">
        <v>50</v>
      </c>
      <c r="C45" s="9"/>
    </row>
    <row r="46" spans="1:3" ht="21.25" customHeight="1" x14ac:dyDescent="0.2">
      <c r="A46" s="1" t="s">
        <v>51</v>
      </c>
      <c r="B46" s="9" t="s">
        <v>3</v>
      </c>
      <c r="C46" s="9"/>
    </row>
    <row r="47" spans="1:3" ht="64" customHeight="1" x14ac:dyDescent="0.2">
      <c r="A47" s="1" t="s">
        <v>52</v>
      </c>
      <c r="B47" s="9" t="s">
        <v>53</v>
      </c>
      <c r="C47" s="9"/>
    </row>
    <row r="48" spans="1:3" ht="128" customHeight="1" x14ac:dyDescent="0.2">
      <c r="A48" s="1" t="s">
        <v>54</v>
      </c>
      <c r="B48" s="9" t="s">
        <v>55</v>
      </c>
      <c r="C48" s="9"/>
    </row>
    <row r="49" spans="1:3" ht="85.25" customHeight="1" x14ac:dyDescent="0.2">
      <c r="A49" s="1" t="s">
        <v>56</v>
      </c>
      <c r="B49" s="9" t="s">
        <v>57</v>
      </c>
      <c r="C49" s="9"/>
    </row>
    <row r="50" spans="1:3" ht="85.25" customHeight="1" x14ac:dyDescent="0.2">
      <c r="A50" s="1" t="s">
        <v>58</v>
      </c>
      <c r="B50" s="9" t="s">
        <v>59</v>
      </c>
      <c r="C50" s="9"/>
    </row>
    <row r="51" spans="1:3" ht="409.6" customHeight="1" x14ac:dyDescent="0.2">
      <c r="A51" s="1" t="s">
        <v>60</v>
      </c>
      <c r="B51" s="9" t="s">
        <v>61</v>
      </c>
      <c r="C51" s="9"/>
    </row>
    <row r="52" spans="1:3" ht="277.25" customHeight="1" x14ac:dyDescent="0.2">
      <c r="A52" s="1" t="s">
        <v>62</v>
      </c>
      <c r="B52" s="9" t="s">
        <v>63</v>
      </c>
      <c r="C52" s="9"/>
    </row>
    <row r="53" spans="1:3" ht="21.25" customHeight="1" x14ac:dyDescent="0.2">
      <c r="A53" s="1" t="s">
        <v>64</v>
      </c>
      <c r="B53" s="9" t="s">
        <v>3</v>
      </c>
      <c r="C53" s="9"/>
    </row>
    <row r="54" spans="1:3" ht="42.75" customHeight="1" x14ac:dyDescent="0.2">
      <c r="A54" s="1" t="s">
        <v>65</v>
      </c>
      <c r="B54" s="9" t="s">
        <v>66</v>
      </c>
      <c r="C54" s="9"/>
    </row>
    <row r="55" spans="1:3" ht="256" customHeight="1" x14ac:dyDescent="0.2">
      <c r="A55" s="1" t="s">
        <v>67</v>
      </c>
      <c r="B55" s="9" t="s">
        <v>68</v>
      </c>
      <c r="C55" s="9"/>
    </row>
    <row r="56" spans="1:3" ht="298.75" customHeight="1" x14ac:dyDescent="0.2">
      <c r="A56" s="1" t="s">
        <v>69</v>
      </c>
      <c r="B56" s="9" t="s">
        <v>70</v>
      </c>
      <c r="C56" s="9"/>
    </row>
    <row r="57" spans="1:3" ht="21.25" customHeight="1" x14ac:dyDescent="0.2">
      <c r="A57" s="1" t="s">
        <v>71</v>
      </c>
      <c r="B57" s="9" t="s">
        <v>3</v>
      </c>
      <c r="C57" s="9"/>
    </row>
    <row r="58" spans="1:3" ht="42.75" customHeight="1" x14ac:dyDescent="0.2">
      <c r="A58" s="1" t="s">
        <v>72</v>
      </c>
      <c r="B58" s="9" t="s">
        <v>73</v>
      </c>
      <c r="C58" s="9"/>
    </row>
    <row r="59" spans="1:3" ht="64" customHeight="1" x14ac:dyDescent="0.2">
      <c r="A59" s="1" t="s">
        <v>74</v>
      </c>
      <c r="B59" s="9" t="s">
        <v>75</v>
      </c>
      <c r="C59" s="9"/>
    </row>
    <row r="60" spans="1:3" x14ac:dyDescent="0.2">
      <c r="A60" s="9"/>
      <c r="B60" s="9"/>
      <c r="C60" s="9"/>
    </row>
    <row r="61" spans="1:3" ht="21.25" customHeight="1" x14ac:dyDescent="0.2">
      <c r="A61" s="3" t="s">
        <v>76</v>
      </c>
      <c r="B61" s="9" t="s">
        <v>15</v>
      </c>
      <c r="C61" s="9"/>
    </row>
    <row r="62" spans="1:3" x14ac:dyDescent="0.2">
      <c r="A62" s="9"/>
      <c r="B62" s="9"/>
      <c r="C62" s="9"/>
    </row>
  </sheetData>
  <mergeCells count="62">
    <mergeCell ref="B61:C61"/>
    <mergeCell ref="A62:C62"/>
    <mergeCell ref="B56:C56"/>
    <mergeCell ref="B57:C57"/>
    <mergeCell ref="B58:C58"/>
    <mergeCell ref="B59:C59"/>
    <mergeCell ref="A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A36:C36"/>
    <mergeCell ref="B37:C37"/>
    <mergeCell ref="B38:C38"/>
    <mergeCell ref="B39:C39"/>
    <mergeCell ref="B40:C40"/>
    <mergeCell ref="B31:C31"/>
    <mergeCell ref="B32:C32"/>
    <mergeCell ref="B33:C33"/>
    <mergeCell ref="A34:C34"/>
    <mergeCell ref="B35:C35"/>
    <mergeCell ref="A26:C26"/>
    <mergeCell ref="B27:C27"/>
    <mergeCell ref="A28:C28"/>
    <mergeCell ref="B29:C29"/>
    <mergeCell ref="B30:C30"/>
    <mergeCell ref="B21:C21"/>
    <mergeCell ref="B22:C22"/>
    <mergeCell ref="B23:C23"/>
    <mergeCell ref="A24:C24"/>
    <mergeCell ref="B25:C25"/>
    <mergeCell ref="B16:C16"/>
    <mergeCell ref="A17:C17"/>
    <mergeCell ref="B18:C18"/>
    <mergeCell ref="B19:C19"/>
    <mergeCell ref="B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ACSST1Y2024.S0101</oddHeader>
    <oddFooter>&amp;L&amp;Bdata.census.gov&amp;B | Measuring America's People, Places, and Economy &amp;R&amp;P</oddFooter>
    <evenHeader>&amp;LTable: ACSST1Y2024.S0101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5"/>
  <sheetViews>
    <sheetView tabSelected="1" workbookViewId="0">
      <pane xSplit="1" ySplit="3" topLeftCell="B4" activePane="bottomRight" state="frozen"/>
      <selection pane="topRight"/>
      <selection pane="bottomLeft"/>
      <selection pane="bottomRight" activeCell="O20" sqref="O20"/>
    </sheetView>
  </sheetViews>
  <sheetFormatPr baseColWidth="10" defaultColWidth="8.83203125" defaultRowHeight="15" x14ac:dyDescent="0.2"/>
  <cols>
    <col min="1" max="1" width="30" style="4" customWidth="1"/>
    <col min="2" max="7" width="20" style="4" customWidth="1"/>
    <col min="11" max="11" width="10.1640625" bestFit="1" customWidth="1"/>
  </cols>
  <sheetData>
    <row r="1" spans="1:14" ht="30" customHeight="1" x14ac:dyDescent="0.2">
      <c r="A1" s="5" t="s">
        <v>3</v>
      </c>
      <c r="B1" s="11" t="s">
        <v>77</v>
      </c>
      <c r="C1" s="11"/>
      <c r="D1" s="11"/>
      <c r="E1" s="11"/>
      <c r="F1" s="11"/>
      <c r="G1" s="11"/>
    </row>
    <row r="2" spans="1:14" ht="30" customHeight="1" x14ac:dyDescent="0.2">
      <c r="A2" s="5" t="s">
        <v>3</v>
      </c>
      <c r="B2" s="5" t="s">
        <v>78</v>
      </c>
      <c r="C2" s="5" t="s">
        <v>79</v>
      </c>
      <c r="D2" s="5" t="s">
        <v>80</v>
      </c>
      <c r="E2" s="5" t="s">
        <v>81</v>
      </c>
      <c r="F2" s="5" t="s">
        <v>82</v>
      </c>
      <c r="G2" s="5" t="s">
        <v>83</v>
      </c>
    </row>
    <row r="3" spans="1:14" ht="30" customHeight="1" x14ac:dyDescent="0.2">
      <c r="A3" s="5" t="s">
        <v>84</v>
      </c>
      <c r="B3" s="5" t="s">
        <v>85</v>
      </c>
      <c r="C3" s="5" t="s">
        <v>85</v>
      </c>
      <c r="D3" s="5" t="s">
        <v>85</v>
      </c>
      <c r="E3" s="5" t="s">
        <v>85</v>
      </c>
      <c r="F3" s="5" t="s">
        <v>85</v>
      </c>
      <c r="G3" s="5" t="s">
        <v>85</v>
      </c>
    </row>
    <row r="4" spans="1:14" ht="16" x14ac:dyDescent="0.2">
      <c r="A4" s="4" t="s">
        <v>86</v>
      </c>
      <c r="B4" s="4">
        <v>340110990</v>
      </c>
      <c r="C4" s="4" t="s">
        <v>87</v>
      </c>
      <c r="D4" s="4">
        <v>168294343</v>
      </c>
      <c r="E4" s="4" t="s">
        <v>87</v>
      </c>
      <c r="F4" s="4">
        <v>171816647</v>
      </c>
      <c r="G4" s="4" t="s">
        <v>87</v>
      </c>
    </row>
    <row r="5" spans="1:14" ht="16" x14ac:dyDescent="0.2">
      <c r="A5" s="6" t="s">
        <v>88</v>
      </c>
    </row>
    <row r="6" spans="1:14" ht="16" x14ac:dyDescent="0.2">
      <c r="A6" s="7" t="s">
        <v>89</v>
      </c>
      <c r="B6" s="4">
        <v>18365047</v>
      </c>
      <c r="C6" s="4">
        <v>5.4</v>
      </c>
      <c r="D6" s="4">
        <v>9370856</v>
      </c>
      <c r="E6" s="4">
        <v>5.6</v>
      </c>
      <c r="F6" s="4">
        <v>8994191</v>
      </c>
      <c r="G6" s="4">
        <v>5.2</v>
      </c>
    </row>
    <row r="7" spans="1:14" ht="16" x14ac:dyDescent="0.2">
      <c r="A7" s="7" t="s">
        <v>90</v>
      </c>
      <c r="B7" s="4">
        <v>19806742</v>
      </c>
      <c r="C7" s="4">
        <v>5.8</v>
      </c>
      <c r="D7" s="4">
        <v>10123467</v>
      </c>
      <c r="E7" s="4">
        <v>6</v>
      </c>
      <c r="F7" s="4">
        <v>9683275</v>
      </c>
      <c r="G7" s="4">
        <v>5.6</v>
      </c>
    </row>
    <row r="8" spans="1:14" ht="16" x14ac:dyDescent="0.2">
      <c r="A8" s="7" t="s">
        <v>91</v>
      </c>
      <c r="B8" s="4">
        <v>21346363</v>
      </c>
      <c r="C8" s="4">
        <v>6.3</v>
      </c>
      <c r="D8" s="4">
        <v>10976815</v>
      </c>
      <c r="E8" s="4">
        <v>6.5</v>
      </c>
      <c r="F8" s="4">
        <v>10369548</v>
      </c>
      <c r="G8" s="4">
        <v>6</v>
      </c>
      <c r="L8" t="s">
        <v>142</v>
      </c>
      <c r="M8" t="s">
        <v>140</v>
      </c>
      <c r="N8" t="s">
        <v>141</v>
      </c>
    </row>
    <row r="9" spans="1:14" ht="16" x14ac:dyDescent="0.2">
      <c r="A9" s="7" t="s">
        <v>92</v>
      </c>
      <c r="B9" s="4">
        <v>22449564</v>
      </c>
      <c r="C9" s="4">
        <v>6.6</v>
      </c>
      <c r="D9" s="4">
        <v>11503628</v>
      </c>
      <c r="E9" s="4">
        <v>6.8</v>
      </c>
      <c r="F9" s="4">
        <v>10945936</v>
      </c>
      <c r="G9" s="4">
        <v>6.4</v>
      </c>
      <c r="J9" t="s">
        <v>136</v>
      </c>
      <c r="K9">
        <f>SUM(B10:B12)</f>
        <v>68430960</v>
      </c>
      <c r="L9">
        <f>SUM(C10:C12)</f>
        <v>20.100000000000001</v>
      </c>
      <c r="M9">
        <f>K9/$B$4</f>
        <v>0.20120184884352016</v>
      </c>
      <c r="N9">
        <f>K9/$K$14</f>
        <v>0.26508906832877621</v>
      </c>
    </row>
    <row r="10" spans="1:14" ht="16" x14ac:dyDescent="0.2">
      <c r="A10" s="7" t="s">
        <v>93</v>
      </c>
      <c r="B10" s="4">
        <v>22232555</v>
      </c>
      <c r="C10" s="4">
        <v>6.5</v>
      </c>
      <c r="D10" s="4">
        <v>11386304</v>
      </c>
      <c r="E10" s="4">
        <v>6.8</v>
      </c>
      <c r="F10" s="4">
        <v>10846251</v>
      </c>
      <c r="G10" s="4">
        <v>6.3</v>
      </c>
      <c r="J10" t="s">
        <v>137</v>
      </c>
      <c r="K10">
        <f>SUM(B13:B14)</f>
        <v>45956885</v>
      </c>
      <c r="L10">
        <f>SUM(C13:C14)</f>
        <v>13.5</v>
      </c>
      <c r="M10">
        <f t="shared" ref="M10:M14" si="0">K10/$B$4</f>
        <v>0.13512319904746389</v>
      </c>
      <c r="N10">
        <f t="shared" ref="N10:N12" si="1">K10/$K$14</f>
        <v>0.17802859740595062</v>
      </c>
    </row>
    <row r="11" spans="1:14" ht="16" x14ac:dyDescent="0.2">
      <c r="A11" s="7" t="s">
        <v>94</v>
      </c>
      <c r="B11" s="4">
        <v>22323951</v>
      </c>
      <c r="C11" s="4">
        <v>6.6</v>
      </c>
      <c r="D11" s="4">
        <v>11310221</v>
      </c>
      <c r="E11" s="4">
        <v>6.7</v>
      </c>
      <c r="F11" s="4">
        <v>11013730</v>
      </c>
      <c r="G11" s="4">
        <v>6.4</v>
      </c>
      <c r="J11" t="s">
        <v>138</v>
      </c>
      <c r="K11">
        <f>SUM(B15:B16)</f>
        <v>40822885</v>
      </c>
      <c r="L11">
        <f>SUM(C15:C16)</f>
        <v>12</v>
      </c>
      <c r="M11">
        <f t="shared" si="0"/>
        <v>0.1200281267006397</v>
      </c>
      <c r="N11">
        <f t="shared" si="1"/>
        <v>0.15814041701508752</v>
      </c>
    </row>
    <row r="12" spans="1:14" ht="16" x14ac:dyDescent="0.2">
      <c r="A12" s="7" t="s">
        <v>95</v>
      </c>
      <c r="B12" s="4">
        <v>23874454</v>
      </c>
      <c r="C12" s="4">
        <v>7</v>
      </c>
      <c r="D12" s="4">
        <v>12049960</v>
      </c>
      <c r="E12" s="4">
        <v>7.2</v>
      </c>
      <c r="F12" s="4">
        <v>11824494</v>
      </c>
      <c r="G12" s="4">
        <v>6.9</v>
      </c>
      <c r="J12" t="s">
        <v>139</v>
      </c>
      <c r="K12">
        <f>SUM(B17:B23)</f>
        <v>102932544</v>
      </c>
      <c r="L12">
        <f>SUM(C17:C23)</f>
        <v>30.4</v>
      </c>
      <c r="M12">
        <f t="shared" si="0"/>
        <v>0.30264398101337447</v>
      </c>
      <c r="N12">
        <f t="shared" si="1"/>
        <v>0.39874191725018565</v>
      </c>
    </row>
    <row r="13" spans="1:14" ht="16" x14ac:dyDescent="0.2">
      <c r="A13" s="7" t="s">
        <v>96</v>
      </c>
      <c r="B13" s="4">
        <v>23255856</v>
      </c>
      <c r="C13" s="4">
        <v>6.8</v>
      </c>
      <c r="D13" s="4">
        <v>11736345</v>
      </c>
      <c r="E13" s="4">
        <v>7</v>
      </c>
      <c r="F13" s="4">
        <v>11519511</v>
      </c>
      <c r="G13" s="4">
        <v>6.7</v>
      </c>
    </row>
    <row r="14" spans="1:14" ht="16" x14ac:dyDescent="0.2">
      <c r="A14" s="7" t="s">
        <v>97</v>
      </c>
      <c r="B14" s="4">
        <v>22701029</v>
      </c>
      <c r="C14" s="4">
        <v>6.7</v>
      </c>
      <c r="D14" s="4">
        <v>11427109</v>
      </c>
      <c r="E14" s="4">
        <v>6.8</v>
      </c>
      <c r="F14" s="4">
        <v>11273920</v>
      </c>
      <c r="G14" s="4">
        <v>6.6</v>
      </c>
      <c r="K14">
        <f>SUM(K9:K12)</f>
        <v>258143274</v>
      </c>
    </row>
    <row r="15" spans="1:14" ht="16" x14ac:dyDescent="0.2">
      <c r="A15" s="7" t="s">
        <v>98</v>
      </c>
      <c r="B15" s="4">
        <v>20348201</v>
      </c>
      <c r="C15" s="4">
        <v>6</v>
      </c>
      <c r="D15" s="4">
        <v>10142209</v>
      </c>
      <c r="E15" s="4">
        <v>6</v>
      </c>
      <c r="F15" s="4">
        <v>10205992</v>
      </c>
      <c r="G15" s="4">
        <v>5.9</v>
      </c>
    </row>
    <row r="16" spans="1:14" ht="16" x14ac:dyDescent="0.2">
      <c r="A16" s="7" t="s">
        <v>99</v>
      </c>
      <c r="B16" s="4">
        <v>20474684</v>
      </c>
      <c r="C16" s="4">
        <v>6</v>
      </c>
      <c r="D16" s="4">
        <v>10186138</v>
      </c>
      <c r="E16" s="4">
        <v>6.1</v>
      </c>
      <c r="F16" s="4">
        <v>10288546</v>
      </c>
      <c r="G16" s="4">
        <v>6</v>
      </c>
    </row>
    <row r="17" spans="1:7" ht="16" x14ac:dyDescent="0.2">
      <c r="A17" s="7" t="s">
        <v>100</v>
      </c>
      <c r="B17" s="4">
        <v>19958796</v>
      </c>
      <c r="C17" s="4">
        <v>5.9</v>
      </c>
      <c r="D17" s="4">
        <v>9826949</v>
      </c>
      <c r="E17" s="4">
        <v>5.8</v>
      </c>
      <c r="F17" s="4">
        <v>10131847</v>
      </c>
      <c r="G17" s="4">
        <v>5.9</v>
      </c>
    </row>
    <row r="18" spans="1:7" ht="16" x14ac:dyDescent="0.2">
      <c r="A18" s="7" t="s">
        <v>101</v>
      </c>
      <c r="B18" s="4">
        <v>21728465</v>
      </c>
      <c r="C18" s="4">
        <v>6.4</v>
      </c>
      <c r="D18" s="4">
        <v>10571031</v>
      </c>
      <c r="E18" s="4">
        <v>6.3</v>
      </c>
      <c r="F18" s="4">
        <v>11157434</v>
      </c>
      <c r="G18" s="4">
        <v>6.5</v>
      </c>
    </row>
    <row r="19" spans="1:7" ht="16" x14ac:dyDescent="0.2">
      <c r="A19" s="7" t="s">
        <v>102</v>
      </c>
      <c r="B19" s="4">
        <v>19356883</v>
      </c>
      <c r="C19" s="4">
        <v>5.7</v>
      </c>
      <c r="D19" s="4">
        <v>9189235</v>
      </c>
      <c r="E19" s="4">
        <v>5.5</v>
      </c>
      <c r="F19" s="4">
        <v>10167648</v>
      </c>
      <c r="G19" s="4">
        <v>5.9</v>
      </c>
    </row>
    <row r="20" spans="1:7" ht="16" x14ac:dyDescent="0.2">
      <c r="A20" s="7" t="s">
        <v>103</v>
      </c>
      <c r="B20" s="4">
        <v>16228208</v>
      </c>
      <c r="C20" s="4">
        <v>4.8</v>
      </c>
      <c r="D20" s="4">
        <v>7555183</v>
      </c>
      <c r="E20" s="4">
        <v>4.5</v>
      </c>
      <c r="F20" s="4">
        <v>8673025</v>
      </c>
      <c r="G20" s="4">
        <v>5</v>
      </c>
    </row>
    <row r="21" spans="1:7" ht="16" x14ac:dyDescent="0.2">
      <c r="A21" s="7" t="s">
        <v>104</v>
      </c>
      <c r="B21" s="4">
        <v>11962541</v>
      </c>
      <c r="C21" s="4">
        <v>3.5</v>
      </c>
      <c r="D21" s="4">
        <v>5403472</v>
      </c>
      <c r="E21" s="4">
        <v>3.2</v>
      </c>
      <c r="F21" s="4">
        <v>6559069</v>
      </c>
      <c r="G21" s="4">
        <v>3.8</v>
      </c>
    </row>
    <row r="22" spans="1:7" ht="16" x14ac:dyDescent="0.2">
      <c r="A22" s="7" t="s">
        <v>105</v>
      </c>
      <c r="B22" s="4">
        <v>7354498</v>
      </c>
      <c r="C22" s="4">
        <v>2.2000000000000002</v>
      </c>
      <c r="D22" s="4">
        <v>3166864</v>
      </c>
      <c r="E22" s="4">
        <v>1.9</v>
      </c>
      <c r="F22" s="4">
        <v>4187634</v>
      </c>
      <c r="G22" s="4">
        <v>2.4</v>
      </c>
    </row>
    <row r="23" spans="1:7" ht="16" x14ac:dyDescent="0.2">
      <c r="A23" s="7" t="s">
        <v>106</v>
      </c>
      <c r="B23" s="4">
        <v>6343153</v>
      </c>
      <c r="C23" s="4">
        <v>1.9</v>
      </c>
      <c r="D23" s="4">
        <v>2368557</v>
      </c>
      <c r="E23" s="4">
        <v>1.4</v>
      </c>
      <c r="F23" s="4">
        <v>3974596</v>
      </c>
      <c r="G23" s="4">
        <v>2.2999999999999998</v>
      </c>
    </row>
    <row r="24" spans="1:7" ht="16" x14ac:dyDescent="0.2">
      <c r="A24" s="6" t="s">
        <v>107</v>
      </c>
    </row>
    <row r="25" spans="1:7" ht="16" x14ac:dyDescent="0.2">
      <c r="A25" s="7" t="s">
        <v>108</v>
      </c>
      <c r="B25" s="4">
        <v>41153105</v>
      </c>
      <c r="C25" s="4">
        <v>12.1</v>
      </c>
      <c r="D25" s="4">
        <v>21100282</v>
      </c>
      <c r="E25" s="4">
        <v>12.5</v>
      </c>
      <c r="F25" s="4">
        <v>20052823</v>
      </c>
      <c r="G25" s="4">
        <v>11.7</v>
      </c>
    </row>
    <row r="26" spans="1:7" ht="16" x14ac:dyDescent="0.2">
      <c r="A26" s="7" t="s">
        <v>109</v>
      </c>
      <c r="B26" s="4">
        <v>13411160</v>
      </c>
      <c r="C26" s="4">
        <v>3.9</v>
      </c>
      <c r="D26" s="4">
        <v>6884490</v>
      </c>
      <c r="E26" s="4">
        <v>4.0999999999999996</v>
      </c>
      <c r="F26" s="4">
        <v>6526670</v>
      </c>
      <c r="G26" s="4">
        <v>3.8</v>
      </c>
    </row>
    <row r="27" spans="1:7" ht="16" x14ac:dyDescent="0.2">
      <c r="A27" s="7" t="s">
        <v>110</v>
      </c>
      <c r="B27" s="4">
        <v>72929312</v>
      </c>
      <c r="C27" s="4">
        <v>21.4</v>
      </c>
      <c r="D27" s="4">
        <v>37355628</v>
      </c>
      <c r="E27" s="4">
        <v>22.2</v>
      </c>
      <c r="F27" s="4">
        <v>35573684</v>
      </c>
      <c r="G27" s="4">
        <v>20.7</v>
      </c>
    </row>
    <row r="28" spans="1:7" ht="16" x14ac:dyDescent="0.2">
      <c r="A28" s="7" t="s">
        <v>111</v>
      </c>
      <c r="B28" s="4">
        <v>31270959</v>
      </c>
      <c r="C28" s="4">
        <v>9.1999999999999993</v>
      </c>
      <c r="D28" s="4">
        <v>16005442</v>
      </c>
      <c r="E28" s="4">
        <v>9.5</v>
      </c>
      <c r="F28" s="4">
        <v>15265517</v>
      </c>
      <c r="G28" s="4">
        <v>8.9</v>
      </c>
    </row>
    <row r="29" spans="1:7" ht="16" x14ac:dyDescent="0.2">
      <c r="A29" s="7" t="s">
        <v>112</v>
      </c>
      <c r="B29" s="4">
        <v>136837409</v>
      </c>
      <c r="C29" s="4">
        <v>40.200000000000003</v>
      </c>
      <c r="D29" s="4">
        <v>69413567</v>
      </c>
      <c r="E29" s="4">
        <v>41.2</v>
      </c>
      <c r="F29" s="4">
        <v>67423842</v>
      </c>
      <c r="G29" s="4">
        <v>39.200000000000003</v>
      </c>
    </row>
    <row r="30" spans="1:7" ht="16" x14ac:dyDescent="0.2">
      <c r="A30" s="7" t="s">
        <v>113</v>
      </c>
      <c r="B30" s="4">
        <v>276249478</v>
      </c>
      <c r="C30" s="4">
        <v>81.2</v>
      </c>
      <c r="D30" s="4">
        <v>135592747</v>
      </c>
      <c r="E30" s="4">
        <v>80.599999999999994</v>
      </c>
      <c r="F30" s="4">
        <v>140656731</v>
      </c>
      <c r="G30" s="4">
        <v>81.900000000000006</v>
      </c>
    </row>
    <row r="31" spans="1:7" ht="16" x14ac:dyDescent="0.2">
      <c r="A31" s="7" t="s">
        <v>114</v>
      </c>
      <c r="B31" s="4">
        <v>267181678</v>
      </c>
      <c r="C31" s="4">
        <v>78.599999999999994</v>
      </c>
      <c r="D31" s="4">
        <v>130938715</v>
      </c>
      <c r="E31" s="4">
        <v>77.8</v>
      </c>
      <c r="F31" s="4">
        <v>136242963</v>
      </c>
      <c r="G31" s="4">
        <v>79.3</v>
      </c>
    </row>
    <row r="32" spans="1:7" ht="16" x14ac:dyDescent="0.2">
      <c r="A32" s="7" t="s">
        <v>115</v>
      </c>
      <c r="B32" s="4">
        <v>253717216</v>
      </c>
      <c r="C32" s="4">
        <v>74.599999999999994</v>
      </c>
      <c r="D32" s="4">
        <v>124048540</v>
      </c>
      <c r="E32" s="4">
        <v>73.7</v>
      </c>
      <c r="F32" s="4">
        <v>129668676</v>
      </c>
      <c r="G32" s="4">
        <v>75.5</v>
      </c>
    </row>
    <row r="33" spans="1:7" ht="16" x14ac:dyDescent="0.2">
      <c r="A33" s="7" t="s">
        <v>116</v>
      </c>
      <c r="B33" s="4">
        <v>82973748</v>
      </c>
      <c r="C33" s="4">
        <v>24.4</v>
      </c>
      <c r="D33" s="4">
        <v>38254342</v>
      </c>
      <c r="E33" s="4">
        <v>22.7</v>
      </c>
      <c r="F33" s="4">
        <v>44719406</v>
      </c>
      <c r="G33" s="4">
        <v>26</v>
      </c>
    </row>
    <row r="34" spans="1:7" ht="16" x14ac:dyDescent="0.2">
      <c r="A34" s="7" t="s">
        <v>117</v>
      </c>
      <c r="B34" s="4">
        <v>74266307</v>
      </c>
      <c r="C34" s="4">
        <v>21.8</v>
      </c>
      <c r="D34" s="4">
        <v>33999187</v>
      </c>
      <c r="E34" s="4">
        <v>20.2</v>
      </c>
      <c r="F34" s="4">
        <v>40267120</v>
      </c>
      <c r="G34" s="4">
        <v>23.4</v>
      </c>
    </row>
    <row r="35" spans="1:7" ht="16" x14ac:dyDescent="0.2">
      <c r="A35" s="7" t="s">
        <v>118</v>
      </c>
      <c r="B35" s="4">
        <v>61245283</v>
      </c>
      <c r="C35" s="4">
        <v>18</v>
      </c>
      <c r="D35" s="4">
        <v>27683311</v>
      </c>
      <c r="E35" s="4">
        <v>16.399999999999999</v>
      </c>
      <c r="F35" s="4">
        <v>33561972</v>
      </c>
      <c r="G35" s="4">
        <v>19.5</v>
      </c>
    </row>
    <row r="36" spans="1:7" ht="16" x14ac:dyDescent="0.2">
      <c r="A36" s="7" t="s">
        <v>119</v>
      </c>
      <c r="B36" s="4">
        <v>25660192</v>
      </c>
      <c r="C36" s="4">
        <v>7.5</v>
      </c>
      <c r="D36" s="4">
        <v>10938893</v>
      </c>
      <c r="E36" s="4">
        <v>6.5</v>
      </c>
      <c r="F36" s="4">
        <v>14721299</v>
      </c>
      <c r="G36" s="4">
        <v>8.6</v>
      </c>
    </row>
    <row r="37" spans="1:7" ht="16" x14ac:dyDescent="0.2">
      <c r="A37" s="6" t="s">
        <v>120</v>
      </c>
    </row>
    <row r="38" spans="1:7" ht="16" x14ac:dyDescent="0.2">
      <c r="A38" s="7" t="s">
        <v>121</v>
      </c>
      <c r="B38" s="4" t="s">
        <v>122</v>
      </c>
      <c r="C38" s="4" t="s">
        <v>87</v>
      </c>
      <c r="D38" s="4" t="s">
        <v>123</v>
      </c>
      <c r="E38" s="4" t="s">
        <v>87</v>
      </c>
      <c r="F38" s="4" t="s">
        <v>124</v>
      </c>
      <c r="G38" s="4" t="s">
        <v>87</v>
      </c>
    </row>
    <row r="39" spans="1:7" ht="16" x14ac:dyDescent="0.2">
      <c r="A39" s="7" t="s">
        <v>125</v>
      </c>
      <c r="B39" s="4" t="s">
        <v>126</v>
      </c>
      <c r="C39" s="4" t="s">
        <v>87</v>
      </c>
      <c r="D39" s="4" t="s">
        <v>87</v>
      </c>
      <c r="E39" s="4" t="s">
        <v>87</v>
      </c>
      <c r="F39" s="4" t="s">
        <v>87</v>
      </c>
      <c r="G39" s="4" t="s">
        <v>87</v>
      </c>
    </row>
    <row r="40" spans="1:7" ht="16" x14ac:dyDescent="0.2">
      <c r="A40" s="7" t="s">
        <v>127</v>
      </c>
      <c r="B40" s="4" t="s">
        <v>128</v>
      </c>
      <c r="C40" s="4" t="s">
        <v>87</v>
      </c>
      <c r="D40" s="4" t="s">
        <v>87</v>
      </c>
      <c r="E40" s="4" t="s">
        <v>87</v>
      </c>
      <c r="F40" s="4" t="s">
        <v>87</v>
      </c>
      <c r="G40" s="4" t="s">
        <v>87</v>
      </c>
    </row>
    <row r="41" spans="1:7" ht="16" x14ac:dyDescent="0.2">
      <c r="A41" s="7" t="s">
        <v>129</v>
      </c>
      <c r="B41" s="4" t="s">
        <v>130</v>
      </c>
      <c r="C41" s="4" t="s">
        <v>87</v>
      </c>
      <c r="D41" s="4" t="s">
        <v>87</v>
      </c>
      <c r="E41" s="4" t="s">
        <v>87</v>
      </c>
      <c r="F41" s="4" t="s">
        <v>87</v>
      </c>
      <c r="G41" s="4" t="s">
        <v>87</v>
      </c>
    </row>
    <row r="42" spans="1:7" ht="16" x14ac:dyDescent="0.2">
      <c r="A42" s="7" t="s">
        <v>131</v>
      </c>
      <c r="B42" s="4" t="s">
        <v>132</v>
      </c>
      <c r="C42" s="4" t="s">
        <v>87</v>
      </c>
      <c r="D42" s="4" t="s">
        <v>87</v>
      </c>
      <c r="E42" s="4" t="s">
        <v>87</v>
      </c>
      <c r="F42" s="4" t="s">
        <v>87</v>
      </c>
      <c r="G42" s="4" t="s">
        <v>87</v>
      </c>
    </row>
    <row r="43" spans="1:7" ht="16" x14ac:dyDescent="0.2">
      <c r="A43" s="6" t="s">
        <v>133</v>
      </c>
    </row>
    <row r="44" spans="1:7" ht="16" x14ac:dyDescent="0.2">
      <c r="A44" s="7" t="s">
        <v>134</v>
      </c>
      <c r="B44" s="4" t="s">
        <v>87</v>
      </c>
      <c r="C44" s="4">
        <v>0</v>
      </c>
      <c r="D44" s="4" t="s">
        <v>87</v>
      </c>
      <c r="E44" s="4" t="s">
        <v>87</v>
      </c>
      <c r="F44" s="4" t="s">
        <v>87</v>
      </c>
      <c r="G44" s="4" t="s">
        <v>87</v>
      </c>
    </row>
    <row r="45" spans="1:7" ht="16" x14ac:dyDescent="0.2">
      <c r="A45" s="7" t="s">
        <v>135</v>
      </c>
      <c r="B45" s="4" t="s">
        <v>87</v>
      </c>
      <c r="C45" s="4">
        <v>1.4</v>
      </c>
      <c r="D45" s="4" t="s">
        <v>87</v>
      </c>
      <c r="E45" s="4" t="s">
        <v>87</v>
      </c>
      <c r="F45" s="4" t="s">
        <v>87</v>
      </c>
      <c r="G45" s="4" t="s">
        <v>87</v>
      </c>
    </row>
  </sheetData>
  <mergeCells count="1">
    <mergeCell ref="B1:G1"/>
  </mergeCells>
  <printOptions gridLines="1"/>
  <pageMargins left="0.7" right="0.7" top="0.75" bottom="0.75" header="0.3" footer="0.3"/>
  <pageSetup pageOrder="overThenDown" orientation="landscape"/>
  <headerFooter>
    <oddHeader>&amp;LTable: ACSST1Y2024.S0101</oddHeader>
    <oddFooter>&amp;L&amp;Bdata.census.gov&amp;B | Measuring America's People, Places, and Economy &amp;R&amp;P</oddFooter>
    <evenHeader>&amp;LTable: ACSST1Y2024.S0101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2026-03-13T18:35:42Z</dcterms:created>
  <dcterms:modified xsi:type="dcterms:W3CDTF">2026-03-13T18:42:44Z</dcterms:modified>
</cp:coreProperties>
</file>