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filterPrivacy="1"/>
  <xr:revisionPtr revIDLastSave="0" documentId="13_ncr:1_{B18066E9-92C3-A040-99F9-794390B128DA}" xr6:coauthVersionLast="47" xr6:coauthVersionMax="47" xr10:uidLastSave="{00000000-0000-0000-0000-000000000000}"/>
  <bookViews>
    <workbookView xWindow="0" yWindow="600" windowWidth="38400" windowHeight="19200" activeTab="1" xr2:uid="{00000000-000D-0000-FFFF-FFFF00000000}"/>
  </bookViews>
  <sheets>
    <sheet name="Information" sheetId="1" r:id="rId1"/>
    <sheet name="Data" sheetId="2" r:id="rId2"/>
  </sheets>
  <definedNames>
    <definedName name="_xlnm.Print_Titles" localSheetId="1">Data!$A:$A,Data!$1:$3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2" l="1"/>
  <c r="M8" i="2"/>
  <c r="M7" i="2"/>
  <c r="M6" i="2"/>
  <c r="M5" i="2"/>
</calcChain>
</file>

<file path=xl/sharedStrings.xml><?xml version="1.0" encoding="utf-8"?>
<sst xmlns="http://schemas.openxmlformats.org/spreadsheetml/2006/main" count="201" uniqueCount="115">
  <si>
    <t>Income in the Past 12 Months (in 2024 Inflation-Adjusted Dollars)</t>
  </si>
  <si>
    <t>Note: The table shown may have been modified by user selections. Some information may be missing.</t>
  </si>
  <si>
    <t>DATA NOTES</t>
  </si>
  <si>
    <t/>
  </si>
  <si>
    <t>TABLE ID:</t>
  </si>
  <si>
    <t>S1901</t>
  </si>
  <si>
    <t>SURVEY/PROGRAM:</t>
  </si>
  <si>
    <t>American Community Survey</t>
  </si>
  <si>
    <t>VINTAGE:</t>
  </si>
  <si>
    <t>2024</t>
  </si>
  <si>
    <t>DATASET:</t>
  </si>
  <si>
    <t>ACSST1Y2024</t>
  </si>
  <si>
    <t>PRODUCT:</t>
  </si>
  <si>
    <t>ACS 1-Year Estimates Subject Tables</t>
  </si>
  <si>
    <t>UNIVERSE:</t>
  </si>
  <si>
    <t>None</t>
  </si>
  <si>
    <t>MLA:</t>
  </si>
  <si>
    <t>U.S. Census Bureau. "Income in the Past 12 Months (in 2024 Inflation-Adjusted Dollars)." American Community Survey, ACS 1-Year Estimates Subject Tables, Table S1901, https://data.census.gov/table/ACSST1Y2024.S1901?moe=true. Accessed on 13 Mar 2026.</t>
  </si>
  <si>
    <t>FTP URL:</t>
  </si>
  <si>
    <t>API URL:</t>
  </si>
  <si>
    <t>https://api.census.gov/data/2024/acs/acs1/subject</t>
  </si>
  <si>
    <t>USER SELECTIONS</t>
  </si>
  <si>
    <t>EXCLUDED COLUMNS</t>
  </si>
  <si>
    <t>APPLIED FILTERS</t>
  </si>
  <si>
    <t>APPLIED SORTS</t>
  </si>
  <si>
    <t>PIVOT &amp; GROUPING</t>
  </si>
  <si>
    <t>PIVOT COLUMNS</t>
  </si>
  <si>
    <t>PIVOT MODE</t>
  </si>
  <si>
    <t>Off</t>
  </si>
  <si>
    <t>ROW GROUPS</t>
  </si>
  <si>
    <t>VALUE COLUMNS</t>
  </si>
  <si>
    <t>WEB ADDRESS</t>
  </si>
  <si>
    <t>https://data.census.gov/table/ACSST1Y2024.S1901?moe=true</t>
  </si>
  <si>
    <t>TABLE NOTES</t>
  </si>
  <si>
    <t>Key Table Information</t>
  </si>
  <si>
    <t>Table Title</t>
  </si>
  <si>
    <t>Table ID</t>
  </si>
  <si>
    <t>ACSST1Y2024.S1901</t>
  </si>
  <si>
    <t>Survey/Program</t>
  </si>
  <si>
    <t>Year</t>
  </si>
  <si>
    <t>Dataset</t>
  </si>
  <si>
    <t>Source</t>
  </si>
  <si>
    <t>U.S. Census Bureau, 2024 American Community Survey, 1-Year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</si>
  <si>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</si>
  <si>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</si>
  <si>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</si>
  <si>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</si>
  <si>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</si>
  <si>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</si>
  <si>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</si>
  <si>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</si>
  <si>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</si>
  <si>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</si>
  <si>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</si>
  <si>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</si>
  <si>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</si>
  <si>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</si>
  <si>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</si>
  <si>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</si>
  <si>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</si>
  <si>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</si>
  <si>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</si>
  <si>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</si>
  <si>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Data-Specific Notes</t>
  </si>
  <si>
    <t>When information is missing or inconsistent, the Census Bureau logically assigns an acceptable value using the response to a related question or questions. If a logical assignment is not possible, data are filled using a statistical process called allocation, which uses a similar individual or household to provide a donor value. The "Allocated" section is the number of respondents who received an allocated value for a particular subject.</t>
  </si>
  <si>
    <t>Additional Information</t>
  </si>
  <si>
    <t>Contact Information</t>
  </si>
  <si>
    <t>Contact the Census Bureau Customer Help Center at 1-800-923-8282 or submit a question at ask.census.gov.</t>
  </si>
  <si>
    <t>Suggested Citation</t>
  </si>
  <si>
    <t>U.S. Census Bureau. "Income in the Past 12 Months (in 2024 Inflation-Adjusted Dollars)" American Community Survey, ACS 1-Year Estimates Subject Tables, Table S1901, 2024, https://data.census.gov/table/ACSST1Y2024.S1901?q=S1901: Accessed on March 13, 2026.</t>
  </si>
  <si>
    <t>COLUMN NOTES</t>
  </si>
  <si>
    <t>United States</t>
  </si>
  <si>
    <t>Households</t>
  </si>
  <si>
    <t>Families</t>
  </si>
  <si>
    <t>Married-couple families</t>
  </si>
  <si>
    <t>Nonfamily households</t>
  </si>
  <si>
    <t>Label</t>
  </si>
  <si>
    <t>Estimate</t>
  </si>
  <si>
    <t>Margin of Error</t>
  </si>
  <si>
    <t>Total</t>
  </si>
  <si>
    <t>±0.1</t>
  </si>
  <si>
    <t>Median income (dollars)</t>
  </si>
  <si>
    <t>±128</t>
  </si>
  <si>
    <t>±183</t>
  </si>
  <si>
    <t>±200</t>
  </si>
  <si>
    <t>±205</t>
  </si>
  <si>
    <t>Mean income (dollars)</t>
  </si>
  <si>
    <t>±208</t>
  </si>
  <si>
    <t>±284</t>
  </si>
  <si>
    <t>±301</t>
  </si>
  <si>
    <t>±271</t>
  </si>
  <si>
    <t>PERCENT ALLOCATED</t>
  </si>
  <si>
    <t>Household income in the past 12 months</t>
  </si>
  <si>
    <t>(X)</t>
  </si>
  <si>
    <t>Family income in the past 12 months</t>
  </si>
  <si>
    <t>Nonfamily income in the past 12 months</t>
  </si>
  <si>
    <t>±140273</t>
  </si>
  <si>
    <t>±137371</t>
  </si>
  <si>
    <t>±185731</t>
  </si>
  <si>
    <t>±112519</t>
  </si>
  <si>
    <t>Less than $10000</t>
  </si>
  <si>
    <t>$10000 to $14999</t>
  </si>
  <si>
    <t>$15000 to $24999</t>
  </si>
  <si>
    <t>$25000 to $34999</t>
  </si>
  <si>
    <t>$35000 to $49999</t>
  </si>
  <si>
    <t>$50000 to $74999</t>
  </si>
  <si>
    <t>$75000 to $99999</t>
  </si>
  <si>
    <t>$100000 to $149999</t>
  </si>
  <si>
    <t>$150000 to $199999</t>
  </si>
  <si>
    <t>$200000 or more</t>
  </si>
  <si>
    <t>Below $50K</t>
  </si>
  <si>
    <t>Between $50K - $75K</t>
  </si>
  <si>
    <t>Between $75K - $100K</t>
  </si>
  <si>
    <t>Between $100K - $200K</t>
  </si>
  <si>
    <t>Above $200K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</si>
</sst>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name val="Calibri"/>
      <family val="2"/>
    </font>
    <font>
      <b/>
      <sz val="11"/>
      <name val="Calibri"/>
      <family val="2"/>
    </font>
  </fonts>
  <fills count="3">
    <fill>
      <patternFill patternType="none"/>
    </fill>
    <fill>
      <patternFill patternType="gray125"/>
    </fill>
    <fill>
      <patternFill patternType="solid">
        <fgColor theme="9" tint="0.79998168889431442"/>
        <bgColor indexed="64"/>
      </patternFill>
    </fill>
  </fills>
  <borders count="3">
    <border>
      <left/>
      <right/>
      <top/>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0" fillId="0" borderId="0" xfId="0" applyAlignment="1">
      <alignment vertical="top" wrapText="1"/>
    </xf>
    <xf numFmtId="0" fontId="0" fillId="0" borderId="1" xfId="0" applyBorder="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1" fillId="0" borderId="1" xfId="0" applyFont="1" applyBorder="1" applyAlignment="1">
      <alignment horizontal="center" vertical="center" wrapText="1" shrinkToFit="1"/>
    </xf>
    <xf numFmtId="0" fontId="0" fillId="0" borderId="0" xfId="0" applyAlignment="1">
      <alignment vertical="top" wrapText="1"/>
    </xf>
    <xf numFmtId="0" fontId="2" fillId="0" borderId="0" xfId="0" applyFont="1"/>
    <xf numFmtId="0" fontId="2" fillId="0" borderId="2" xfId="0" applyFont="1" applyBorder="1" applyAlignment="1">
      <alignment horizontal="left" vertical="center" wrapText="1" indent="1"/>
    </xf>
    <xf numFmtId="10" fontId="0" fillId="0" borderId="0" xfId="0" applyNumberFormat="1" applyAlignment="1">
      <alignment wrapText="1"/>
    </xf>
    <xf numFmtId="0" fontId="0" fillId="2" borderId="0" xfId="0" applyFill="1" applyAlignment="1">
      <alignment wrapText="1" indent="1"/>
    </xf>
    <xf numFmtId="0" fontId="0" fillId="2" borderId="0" xfId="0" applyFill="1" applyAlignment="1">
      <alignment wrapText="1"/>
    </xf>
    <xf numFmtId="2" fontId="0" fillId="2" borderId="0" xfId="0" applyNumberFormat="1" applyFill="1" applyAlignment="1">
      <alignment wrapText="1"/>
    </xf>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57"/>
  <sheetViews>
    <sheetView topLeftCell="A28" workbookViewId="0">
      <selection sqref="A1:B1"/>
    </sheetView>
  </sheetViews>
  <sheetFormatPr baseColWidth="10" defaultColWidth="8.83203125" defaultRowHeight="15" x14ac:dyDescent="0.2"/>
  <cols>
    <col min="1" max="1" width="25" style="1" customWidth="1"/>
    <col min="2" max="2" width="80" style="1" customWidth="1"/>
    <col min="3" max="3" width="20" customWidth="1"/>
  </cols>
  <sheetData>
    <row r="1" spans="1:3" ht="80" customHeight="1" x14ac:dyDescent="0.2">
      <c r="A1" s="7" t="s">
        <v>0</v>
      </c>
      <c r="B1" s="7"/>
      <c r="C1" s="2"/>
    </row>
    <row r="2" spans="1:3" x14ac:dyDescent="0.2">
      <c r="A2" s="8"/>
      <c r="B2" s="8"/>
      <c r="C2" s="8"/>
    </row>
    <row r="3" spans="1:3" x14ac:dyDescent="0.2">
      <c r="A3" s="9" t="s">
        <v>1</v>
      </c>
      <c r="B3" s="9"/>
      <c r="C3" s="9"/>
    </row>
    <row r="4" spans="1:3" x14ac:dyDescent="0.2">
      <c r="A4" s="8"/>
      <c r="B4" s="8"/>
      <c r="C4" s="8"/>
    </row>
    <row r="5" spans="1:3" ht="21.25" customHeight="1" x14ac:dyDescent="0.2">
      <c r="A5" s="3" t="s">
        <v>2</v>
      </c>
      <c r="B5" s="8" t="s">
        <v>3</v>
      </c>
      <c r="C5" s="8"/>
    </row>
    <row r="6" spans="1:3" ht="21.25" customHeight="1" x14ac:dyDescent="0.2">
      <c r="A6" s="1" t="s">
        <v>4</v>
      </c>
      <c r="B6" s="8" t="s">
        <v>5</v>
      </c>
      <c r="C6" s="8"/>
    </row>
    <row r="7" spans="1:3" ht="21.25" customHeight="1" x14ac:dyDescent="0.2">
      <c r="A7" s="1" t="s">
        <v>6</v>
      </c>
      <c r="B7" s="8" t="s">
        <v>7</v>
      </c>
      <c r="C7" s="8"/>
    </row>
    <row r="8" spans="1:3" ht="21.25" customHeight="1" x14ac:dyDescent="0.2">
      <c r="A8" s="1" t="s">
        <v>8</v>
      </c>
      <c r="B8" s="8" t="s">
        <v>9</v>
      </c>
      <c r="C8" s="8"/>
    </row>
    <row r="9" spans="1:3" ht="21.25" customHeight="1" x14ac:dyDescent="0.2">
      <c r="A9" s="1" t="s">
        <v>10</v>
      </c>
      <c r="B9" s="8" t="s">
        <v>11</v>
      </c>
      <c r="C9" s="8"/>
    </row>
    <row r="10" spans="1:3" ht="21.25" customHeight="1" x14ac:dyDescent="0.2">
      <c r="A10" s="1" t="s">
        <v>12</v>
      </c>
      <c r="B10" s="8" t="s">
        <v>13</v>
      </c>
      <c r="C10" s="8"/>
    </row>
    <row r="11" spans="1:3" ht="21.25" customHeight="1" x14ac:dyDescent="0.2">
      <c r="A11" s="1" t="s">
        <v>14</v>
      </c>
      <c r="B11" s="8" t="s">
        <v>15</v>
      </c>
      <c r="C11" s="8"/>
    </row>
    <row r="12" spans="1:3" ht="64" customHeight="1" x14ac:dyDescent="0.2">
      <c r="A12" s="1" t="s">
        <v>16</v>
      </c>
      <c r="B12" s="8" t="s">
        <v>17</v>
      </c>
      <c r="C12" s="8"/>
    </row>
    <row r="13" spans="1:3" ht="21.25" customHeight="1" x14ac:dyDescent="0.2">
      <c r="A13" s="1" t="s">
        <v>18</v>
      </c>
      <c r="B13" s="8" t="s">
        <v>15</v>
      </c>
      <c r="C13" s="8"/>
    </row>
    <row r="14" spans="1:3" ht="21.25" customHeight="1" x14ac:dyDescent="0.2">
      <c r="A14" s="1" t="s">
        <v>19</v>
      </c>
      <c r="B14" s="8" t="s">
        <v>20</v>
      </c>
      <c r="C14" s="8"/>
    </row>
    <row r="15" spans="1:3" x14ac:dyDescent="0.2">
      <c r="A15" s="8"/>
      <c r="B15" s="8"/>
      <c r="C15" s="8"/>
    </row>
    <row r="16" spans="1:3" ht="21.25" customHeight="1" x14ac:dyDescent="0.2">
      <c r="A16" s="3" t="s">
        <v>21</v>
      </c>
      <c r="B16" s="8" t="s">
        <v>15</v>
      </c>
      <c r="C16" s="8"/>
    </row>
    <row r="17" spans="1:3" x14ac:dyDescent="0.2">
      <c r="A17" s="8"/>
      <c r="B17" s="8"/>
      <c r="C17" s="8"/>
    </row>
    <row r="18" spans="1:3" ht="21.25" customHeight="1" x14ac:dyDescent="0.2">
      <c r="A18" s="3" t="s">
        <v>22</v>
      </c>
      <c r="B18" s="8" t="s">
        <v>15</v>
      </c>
      <c r="C18" s="8"/>
    </row>
    <row r="19" spans="1:3" x14ac:dyDescent="0.2">
      <c r="A19" s="8"/>
      <c r="B19" s="8"/>
      <c r="C19" s="8"/>
    </row>
    <row r="20" spans="1:3" ht="21.25" customHeight="1" x14ac:dyDescent="0.2">
      <c r="A20" s="3" t="s">
        <v>23</v>
      </c>
      <c r="B20" s="8" t="s">
        <v>15</v>
      </c>
      <c r="C20" s="8"/>
    </row>
    <row r="21" spans="1:3" x14ac:dyDescent="0.2">
      <c r="A21" s="8"/>
      <c r="B21" s="8"/>
      <c r="C21" s="8"/>
    </row>
    <row r="22" spans="1:3" ht="21.25" customHeight="1" x14ac:dyDescent="0.2">
      <c r="A22" s="3" t="s">
        <v>24</v>
      </c>
      <c r="B22" s="8" t="s">
        <v>15</v>
      </c>
      <c r="C22" s="8"/>
    </row>
    <row r="23" spans="1:3" x14ac:dyDescent="0.2">
      <c r="A23" s="8"/>
      <c r="B23" s="8"/>
      <c r="C23" s="8"/>
    </row>
    <row r="24" spans="1:3" ht="21.25" customHeight="1" x14ac:dyDescent="0.2">
      <c r="A24" s="3" t="s">
        <v>25</v>
      </c>
      <c r="B24" s="8" t="s">
        <v>3</v>
      </c>
      <c r="C24" s="8"/>
    </row>
    <row r="25" spans="1:3" ht="21.25" customHeight="1" x14ac:dyDescent="0.2">
      <c r="A25" s="1" t="s">
        <v>26</v>
      </c>
      <c r="B25" s="8" t="s">
        <v>15</v>
      </c>
      <c r="C25" s="8"/>
    </row>
    <row r="26" spans="1:3" ht="21.25" customHeight="1" x14ac:dyDescent="0.2">
      <c r="A26" s="1" t="s">
        <v>27</v>
      </c>
      <c r="B26" s="8" t="s">
        <v>28</v>
      </c>
      <c r="C26" s="8"/>
    </row>
    <row r="27" spans="1:3" ht="21.25" customHeight="1" x14ac:dyDescent="0.2">
      <c r="A27" s="1" t="s">
        <v>29</v>
      </c>
      <c r="B27" s="8" t="s">
        <v>15</v>
      </c>
      <c r="C27" s="8"/>
    </row>
    <row r="28" spans="1:3" ht="21.25" customHeight="1" x14ac:dyDescent="0.2">
      <c r="A28" s="1" t="s">
        <v>30</v>
      </c>
      <c r="B28" s="8" t="s">
        <v>15</v>
      </c>
      <c r="C28" s="8"/>
    </row>
    <row r="29" spans="1:3" x14ac:dyDescent="0.2">
      <c r="A29" s="8"/>
      <c r="B29" s="8"/>
      <c r="C29" s="8"/>
    </row>
    <row r="30" spans="1:3" ht="21.25" customHeight="1" x14ac:dyDescent="0.2">
      <c r="A30" s="3" t="s">
        <v>31</v>
      </c>
      <c r="B30" s="8" t="s">
        <v>32</v>
      </c>
      <c r="C30" s="8"/>
    </row>
    <row r="31" spans="1:3" x14ac:dyDescent="0.2">
      <c r="A31" s="8"/>
      <c r="B31" s="8"/>
      <c r="C31" s="8"/>
    </row>
    <row r="32" spans="1:3" ht="21.25" customHeight="1" x14ac:dyDescent="0.2">
      <c r="A32" s="3" t="s">
        <v>33</v>
      </c>
      <c r="B32" s="8" t="s">
        <v>3</v>
      </c>
      <c r="C32" s="8"/>
    </row>
    <row r="33" spans="1:3" ht="21.25" customHeight="1" x14ac:dyDescent="0.2">
      <c r="A33" s="1" t="s">
        <v>34</v>
      </c>
      <c r="B33" s="8" t="s">
        <v>3</v>
      </c>
      <c r="C33" s="8"/>
    </row>
    <row r="34" spans="1:3" ht="42.75" customHeight="1" x14ac:dyDescent="0.2">
      <c r="A34" s="1" t="s">
        <v>35</v>
      </c>
      <c r="B34" s="8" t="s">
        <v>0</v>
      </c>
      <c r="C34" s="8"/>
    </row>
    <row r="35" spans="1:3" ht="21.25" customHeight="1" x14ac:dyDescent="0.2">
      <c r="A35" s="1" t="s">
        <v>36</v>
      </c>
      <c r="B35" s="8" t="s">
        <v>37</v>
      </c>
      <c r="C35" s="8"/>
    </row>
    <row r="36" spans="1:3" ht="21.25" customHeight="1" x14ac:dyDescent="0.2">
      <c r="A36" s="1" t="s">
        <v>38</v>
      </c>
      <c r="B36" s="8" t="s">
        <v>7</v>
      </c>
      <c r="C36" s="8"/>
    </row>
    <row r="37" spans="1:3" ht="21.25" customHeight="1" x14ac:dyDescent="0.2">
      <c r="A37" s="1" t="s">
        <v>39</v>
      </c>
      <c r="B37" s="8" t="s">
        <v>9</v>
      </c>
      <c r="C37" s="8"/>
    </row>
    <row r="38" spans="1:3" ht="21.25" customHeight="1" x14ac:dyDescent="0.2">
      <c r="A38" s="1" t="s">
        <v>40</v>
      </c>
      <c r="B38" s="8" t="s">
        <v>13</v>
      </c>
      <c r="C38" s="8"/>
    </row>
    <row r="39" spans="1:3" ht="42.75" customHeight="1" x14ac:dyDescent="0.2">
      <c r="A39" s="1" t="s">
        <v>41</v>
      </c>
      <c r="B39" s="8" t="s">
        <v>42</v>
      </c>
      <c r="C39" s="8"/>
    </row>
    <row r="40" spans="1:3" ht="64" customHeight="1" x14ac:dyDescent="0.2">
      <c r="A40" s="1" t="s">
        <v>43</v>
      </c>
      <c r="B40" s="8" t="s">
        <v>44</v>
      </c>
      <c r="C40" s="8"/>
    </row>
    <row r="41" spans="1:3" ht="21.25" customHeight="1" x14ac:dyDescent="0.2">
      <c r="A41" s="1" t="s">
        <v>45</v>
      </c>
      <c r="B41" s="8" t="s">
        <v>3</v>
      </c>
      <c r="C41" s="8"/>
    </row>
    <row r="42" spans="1:3" ht="64" customHeight="1" x14ac:dyDescent="0.2">
      <c r="A42" s="1" t="s">
        <v>46</v>
      </c>
      <c r="B42" s="8" t="s">
        <v>47</v>
      </c>
      <c r="C42" s="8"/>
    </row>
    <row r="43" spans="1:3" ht="128" customHeight="1" x14ac:dyDescent="0.2">
      <c r="A43" s="1" t="s">
        <v>48</v>
      </c>
      <c r="B43" s="8" t="s">
        <v>49</v>
      </c>
      <c r="C43" s="8"/>
    </row>
    <row r="44" spans="1:3" ht="85.25" customHeight="1" x14ac:dyDescent="0.2">
      <c r="A44" s="1" t="s">
        <v>50</v>
      </c>
      <c r="B44" s="8" t="s">
        <v>51</v>
      </c>
      <c r="C44" s="8"/>
    </row>
    <row r="45" spans="1:3" ht="85.25" customHeight="1" x14ac:dyDescent="0.2">
      <c r="A45" s="1" t="s">
        <v>52</v>
      </c>
      <c r="B45" s="8" t="s">
        <v>53</v>
      </c>
      <c r="C45" s="8"/>
    </row>
    <row r="46" spans="1:3" ht="409.6" customHeight="1" x14ac:dyDescent="0.2">
      <c r="A46" s="1" t="s">
        <v>54</v>
      </c>
      <c r="B46" s="8" t="s">
        <v>55</v>
      </c>
      <c r="C46" s="8"/>
    </row>
    <row r="47" spans="1:3" ht="277.25" customHeight="1" x14ac:dyDescent="0.2">
      <c r="A47" s="1" t="s">
        <v>56</v>
      </c>
      <c r="B47" s="8" t="s">
        <v>57</v>
      </c>
      <c r="C47" s="8"/>
    </row>
    <row r="48" spans="1:3" ht="21.25" customHeight="1" x14ac:dyDescent="0.2">
      <c r="A48" s="1" t="s">
        <v>58</v>
      </c>
      <c r="B48" s="8" t="s">
        <v>3</v>
      </c>
      <c r="C48" s="8"/>
    </row>
    <row r="49" spans="1:3" ht="42.75" customHeight="1" x14ac:dyDescent="0.2">
      <c r="A49" s="1" t="s">
        <v>59</v>
      </c>
      <c r="B49" s="8" t="s">
        <v>60</v>
      </c>
      <c r="C49" s="8"/>
    </row>
    <row r="50" spans="1:3" ht="256" customHeight="1" x14ac:dyDescent="0.2">
      <c r="A50" s="1" t="s">
        <v>61</v>
      </c>
      <c r="B50" s="8" t="s">
        <v>62</v>
      </c>
      <c r="C50" s="8"/>
    </row>
    <row r="51" spans="1:3" ht="106.75" customHeight="1" x14ac:dyDescent="0.2">
      <c r="A51" s="1" t="s">
        <v>63</v>
      </c>
      <c r="B51" s="8" t="s">
        <v>64</v>
      </c>
      <c r="C51" s="8"/>
    </row>
    <row r="52" spans="1:3" ht="21.25" customHeight="1" x14ac:dyDescent="0.2">
      <c r="A52" s="1" t="s">
        <v>65</v>
      </c>
      <c r="B52" s="8" t="s">
        <v>3</v>
      </c>
      <c r="C52" s="8"/>
    </row>
    <row r="53" spans="1:3" ht="42.75" customHeight="1" x14ac:dyDescent="0.2">
      <c r="A53" s="1" t="s">
        <v>66</v>
      </c>
      <c r="B53" s="8" t="s">
        <v>67</v>
      </c>
      <c r="C53" s="8"/>
    </row>
    <row r="54" spans="1:3" ht="64" customHeight="1" x14ac:dyDescent="0.2">
      <c r="A54" s="1" t="s">
        <v>68</v>
      </c>
      <c r="B54" s="8" t="s">
        <v>69</v>
      </c>
      <c r="C54" s="8"/>
    </row>
    <row r="55" spans="1:3" x14ac:dyDescent="0.2">
      <c r="A55" s="8"/>
      <c r="B55" s="8"/>
      <c r="C55" s="8"/>
    </row>
    <row r="56" spans="1:3" ht="21.25" customHeight="1" x14ac:dyDescent="0.2">
      <c r="A56" s="3" t="s">
        <v>70</v>
      </c>
      <c r="B56" s="8" t="s">
        <v>15</v>
      </c>
      <c r="C56" s="8"/>
    </row>
    <row r="57" spans="1:3" x14ac:dyDescent="0.2">
      <c r="A57" s="8"/>
      <c r="B57" s="8"/>
      <c r="C57" s="8"/>
    </row>
  </sheetData>
  <mergeCells count="57">
    <mergeCell ref="B56:C56"/>
    <mergeCell ref="A57:C57"/>
    <mergeCell ref="B51:C51"/>
    <mergeCell ref="B52:C52"/>
    <mergeCell ref="B53:C53"/>
    <mergeCell ref="B54:C54"/>
    <mergeCell ref="A55:C55"/>
    <mergeCell ref="B46:C46"/>
    <mergeCell ref="B47:C47"/>
    <mergeCell ref="B48:C48"/>
    <mergeCell ref="B49:C49"/>
    <mergeCell ref="B50:C50"/>
    <mergeCell ref="B41:C41"/>
    <mergeCell ref="B42:C42"/>
    <mergeCell ref="B43:C43"/>
    <mergeCell ref="B44:C44"/>
    <mergeCell ref="B45:C45"/>
    <mergeCell ref="B36:C36"/>
    <mergeCell ref="B37:C37"/>
    <mergeCell ref="B38:C38"/>
    <mergeCell ref="B39:C39"/>
    <mergeCell ref="B40:C40"/>
    <mergeCell ref="A31:C31"/>
    <mergeCell ref="B32:C32"/>
    <mergeCell ref="B33:C33"/>
    <mergeCell ref="B34:C34"/>
    <mergeCell ref="B35:C35"/>
    <mergeCell ref="B26:C26"/>
    <mergeCell ref="B27:C27"/>
    <mergeCell ref="B28:C28"/>
    <mergeCell ref="A29:C29"/>
    <mergeCell ref="B30:C30"/>
    <mergeCell ref="A21:C21"/>
    <mergeCell ref="B22:C22"/>
    <mergeCell ref="A23:C23"/>
    <mergeCell ref="B24:C24"/>
    <mergeCell ref="B25:C25"/>
    <mergeCell ref="B16:C16"/>
    <mergeCell ref="A17:C17"/>
    <mergeCell ref="B18:C18"/>
    <mergeCell ref="A19:C19"/>
    <mergeCell ref="B20:C20"/>
    <mergeCell ref="B11:C11"/>
    <mergeCell ref="B12:C12"/>
    <mergeCell ref="B13:C13"/>
    <mergeCell ref="B14:C14"/>
    <mergeCell ref="A15:C15"/>
    <mergeCell ref="B6:C6"/>
    <mergeCell ref="B7:C7"/>
    <mergeCell ref="B8:C8"/>
    <mergeCell ref="B9:C9"/>
    <mergeCell ref="B10:C10"/>
    <mergeCell ref="A1:B1"/>
    <mergeCell ref="A2:C2"/>
    <mergeCell ref="A3:C3"/>
    <mergeCell ref="A4:C4"/>
    <mergeCell ref="B5:C5"/>
  </mergeCells>
  <printOptions gridLines="1"/>
  <pageMargins left="0.7" right="0.7" top="0.75" bottom="0.75" header="0.3" footer="0.3"/>
  <pageSetup fitToHeight="0" orientation="landscape"/>
  <headerFooter>
    <oddHeader>&amp;LTable: ACSST1Y2024.S1901</oddHeader>
    <oddFooter>&amp;L&amp;Bdata.census.gov&amp;B | Measuring America's People, Places, and Economy &amp;R&amp;P</oddFooter>
    <evenHeader>&amp;LTable: ACSST1Y2024.S1901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8"/>
  <sheetViews>
    <sheetView tabSelected="1" workbookViewId="0">
      <pane xSplit="1" ySplit="3" topLeftCell="B4" activePane="bottomRight" state="frozen"/>
      <selection pane="topRight"/>
      <selection pane="bottomLeft"/>
      <selection pane="bottomRight" activeCell="C24" sqref="C24"/>
    </sheetView>
  </sheetViews>
  <sheetFormatPr baseColWidth="10" defaultColWidth="8.83203125" defaultRowHeight="15" x14ac:dyDescent="0.2"/>
  <cols>
    <col min="1" max="1" width="30" style="4" customWidth="1"/>
    <col min="2" max="9" width="20" style="4" customWidth="1"/>
    <col min="12" max="12" width="19.33203125" bestFit="1" customWidth="1"/>
  </cols>
  <sheetData>
    <row r="1" spans="1:13" ht="30" customHeight="1" x14ac:dyDescent="0.2">
      <c r="A1" s="5" t="s">
        <v>3</v>
      </c>
      <c r="B1" s="10" t="s">
        <v>71</v>
      </c>
      <c r="C1" s="10"/>
      <c r="D1" s="10"/>
      <c r="E1" s="10"/>
      <c r="F1" s="10"/>
      <c r="G1" s="10"/>
      <c r="H1" s="10"/>
      <c r="I1" s="10"/>
    </row>
    <row r="2" spans="1:13" ht="30" customHeight="1" x14ac:dyDescent="0.2">
      <c r="A2" s="5" t="s">
        <v>3</v>
      </c>
      <c r="B2" s="10" t="s">
        <v>72</v>
      </c>
      <c r="C2" s="10"/>
      <c r="D2" s="10" t="s">
        <v>73</v>
      </c>
      <c r="E2" s="10"/>
      <c r="F2" s="10" t="s">
        <v>74</v>
      </c>
      <c r="G2" s="10"/>
      <c r="H2" s="10" t="s">
        <v>75</v>
      </c>
      <c r="I2" s="10"/>
    </row>
    <row r="3" spans="1:13" ht="30" customHeight="1" x14ac:dyDescent="0.2">
      <c r="A3" s="5" t="s">
        <v>76</v>
      </c>
      <c r="B3" s="5" t="s">
        <v>77</v>
      </c>
      <c r="C3" s="5" t="s">
        <v>78</v>
      </c>
      <c r="D3" s="5" t="s">
        <v>77</v>
      </c>
      <c r="E3" s="5" t="s">
        <v>78</v>
      </c>
      <c r="F3" s="5" t="s">
        <v>77</v>
      </c>
      <c r="G3" s="5" t="s">
        <v>78</v>
      </c>
      <c r="H3" s="5" t="s">
        <v>77</v>
      </c>
      <c r="I3" s="5" t="s">
        <v>78</v>
      </c>
    </row>
    <row r="4" spans="1:13" ht="16" x14ac:dyDescent="0.2">
      <c r="A4" s="4" t="s">
        <v>79</v>
      </c>
      <c r="B4" s="4">
        <v>132737146</v>
      </c>
      <c r="C4" s="4" t="s">
        <v>96</v>
      </c>
      <c r="D4" s="4">
        <v>84966539</v>
      </c>
      <c r="E4" s="4" t="s">
        <v>97</v>
      </c>
      <c r="F4" s="4">
        <v>61980084</v>
      </c>
      <c r="G4" s="4" t="s">
        <v>98</v>
      </c>
      <c r="H4" s="4">
        <v>47770607</v>
      </c>
      <c r="I4" s="4" t="s">
        <v>99</v>
      </c>
    </row>
    <row r="5" spans="1:13" ht="16" x14ac:dyDescent="0.2">
      <c r="A5" s="12" t="s">
        <v>100</v>
      </c>
      <c r="B5" s="14">
        <v>5.0999999999999996</v>
      </c>
      <c r="C5" s="13" t="s">
        <v>80</v>
      </c>
      <c r="D5" s="13">
        <v>3.1</v>
      </c>
      <c r="E5" s="13" t="s">
        <v>80</v>
      </c>
      <c r="F5" s="13">
        <v>1.4</v>
      </c>
      <c r="G5" s="13" t="s">
        <v>80</v>
      </c>
      <c r="H5" s="13">
        <v>9.6</v>
      </c>
      <c r="I5" s="13" t="s">
        <v>80</v>
      </c>
      <c r="L5" t="s">
        <v>110</v>
      </c>
      <c r="M5" s="15">
        <f>SUM(B5:B9)</f>
        <v>30.6</v>
      </c>
    </row>
    <row r="6" spans="1:13" ht="16" x14ac:dyDescent="0.2">
      <c r="A6" s="12" t="s">
        <v>101</v>
      </c>
      <c r="B6" s="14">
        <v>3.3</v>
      </c>
      <c r="C6" s="13" t="s">
        <v>80</v>
      </c>
      <c r="D6" s="13">
        <v>1.6</v>
      </c>
      <c r="E6" s="13" t="s">
        <v>80</v>
      </c>
      <c r="F6" s="13">
        <v>0.8</v>
      </c>
      <c r="G6" s="13" t="s">
        <v>80</v>
      </c>
      <c r="H6" s="13">
        <v>6.5</v>
      </c>
      <c r="I6" s="13" t="s">
        <v>80</v>
      </c>
      <c r="L6" t="s">
        <v>111</v>
      </c>
      <c r="M6" s="15">
        <f>B10</f>
        <v>15.6</v>
      </c>
    </row>
    <row r="7" spans="1:13" ht="16" x14ac:dyDescent="0.2">
      <c r="A7" s="12" t="s">
        <v>102</v>
      </c>
      <c r="B7" s="14">
        <v>6</v>
      </c>
      <c r="C7" s="13" t="s">
        <v>80</v>
      </c>
      <c r="D7" s="13">
        <v>3.7</v>
      </c>
      <c r="E7" s="13" t="s">
        <v>80</v>
      </c>
      <c r="F7" s="13">
        <v>2.2000000000000002</v>
      </c>
      <c r="G7" s="13" t="s">
        <v>80</v>
      </c>
      <c r="H7" s="13">
        <v>10.5</v>
      </c>
      <c r="I7" s="13" t="s">
        <v>80</v>
      </c>
      <c r="L7" t="s">
        <v>112</v>
      </c>
      <c r="M7" s="15">
        <f>B11</f>
        <v>12.6</v>
      </c>
    </row>
    <row r="8" spans="1:13" ht="16" x14ac:dyDescent="0.2">
      <c r="A8" s="12" t="s">
        <v>103</v>
      </c>
      <c r="B8" s="14">
        <v>6.3</v>
      </c>
      <c r="C8" s="13" t="s">
        <v>80</v>
      </c>
      <c r="D8" s="13">
        <v>4.5999999999999996</v>
      </c>
      <c r="E8" s="13" t="s">
        <v>80</v>
      </c>
      <c r="F8" s="13">
        <v>3</v>
      </c>
      <c r="G8" s="13" t="s">
        <v>80</v>
      </c>
      <c r="H8" s="13">
        <v>9.9</v>
      </c>
      <c r="I8" s="13" t="s">
        <v>80</v>
      </c>
      <c r="L8" t="s">
        <v>113</v>
      </c>
      <c r="M8" s="15">
        <f>SUM(B12:B13)</f>
        <v>27.5</v>
      </c>
    </row>
    <row r="9" spans="1:13" ht="16" x14ac:dyDescent="0.2">
      <c r="A9" s="12" t="s">
        <v>104</v>
      </c>
      <c r="B9" s="14">
        <v>9.9</v>
      </c>
      <c r="C9" s="13" t="s">
        <v>80</v>
      </c>
      <c r="D9" s="13">
        <v>8.1999999999999993</v>
      </c>
      <c r="E9" s="13" t="s">
        <v>80</v>
      </c>
      <c r="F9" s="13">
        <v>6.1</v>
      </c>
      <c r="G9" s="13" t="s">
        <v>80</v>
      </c>
      <c r="H9" s="13">
        <v>13.6</v>
      </c>
      <c r="I9" s="13" t="s">
        <v>80</v>
      </c>
      <c r="L9" t="s">
        <v>114</v>
      </c>
      <c r="M9" s="15">
        <f>B14</f>
        <v>13.7</v>
      </c>
    </row>
    <row r="10" spans="1:13" ht="16" x14ac:dyDescent="0.2">
      <c r="A10" s="12" t="s">
        <v>105</v>
      </c>
      <c r="B10" s="14">
        <v>15.6</v>
      </c>
      <c r="C10" s="13" t="s">
        <v>80</v>
      </c>
      <c r="D10" s="13">
        <v>14.6</v>
      </c>
      <c r="E10" s="13" t="s">
        <v>80</v>
      </c>
      <c r="F10" s="13">
        <v>12.8</v>
      </c>
      <c r="G10" s="13" t="s">
        <v>80</v>
      </c>
      <c r="H10" s="13">
        <v>17.899999999999999</v>
      </c>
      <c r="I10" s="13" t="s">
        <v>80</v>
      </c>
    </row>
    <row r="11" spans="1:13" ht="16" x14ac:dyDescent="0.2">
      <c r="A11" s="12" t="s">
        <v>106</v>
      </c>
      <c r="B11" s="14">
        <v>12.6</v>
      </c>
      <c r="C11" s="13" t="s">
        <v>80</v>
      </c>
      <c r="D11" s="13">
        <v>13.4</v>
      </c>
      <c r="E11" s="13" t="s">
        <v>80</v>
      </c>
      <c r="F11" s="13">
        <v>13.4</v>
      </c>
      <c r="G11" s="13" t="s">
        <v>80</v>
      </c>
      <c r="H11" s="13">
        <v>10.9</v>
      </c>
      <c r="I11" s="13" t="s">
        <v>80</v>
      </c>
    </row>
    <row r="12" spans="1:13" ht="16" x14ac:dyDescent="0.2">
      <c r="A12" s="12" t="s">
        <v>107</v>
      </c>
      <c r="B12" s="14">
        <v>17.8</v>
      </c>
      <c r="C12" s="13" t="s">
        <v>80</v>
      </c>
      <c r="D12" s="13">
        <v>20.8</v>
      </c>
      <c r="E12" s="13" t="s">
        <v>80</v>
      </c>
      <c r="F12" s="13">
        <v>23.1</v>
      </c>
      <c r="G12" s="13" t="s">
        <v>80</v>
      </c>
      <c r="H12" s="13">
        <v>11.3</v>
      </c>
      <c r="I12" s="13" t="s">
        <v>80</v>
      </c>
    </row>
    <row r="13" spans="1:13" ht="16" x14ac:dyDescent="0.2">
      <c r="A13" s="12" t="s">
        <v>108</v>
      </c>
      <c r="B13" s="14">
        <v>9.6999999999999993</v>
      </c>
      <c r="C13" s="13" t="s">
        <v>80</v>
      </c>
      <c r="D13" s="13">
        <v>12.1</v>
      </c>
      <c r="E13" s="13" t="s">
        <v>80</v>
      </c>
      <c r="F13" s="13">
        <v>14.6</v>
      </c>
      <c r="G13" s="13" t="s">
        <v>80</v>
      </c>
      <c r="H13" s="13">
        <v>4.5</v>
      </c>
      <c r="I13" s="13" t="s">
        <v>80</v>
      </c>
      <c r="M13" s="15"/>
    </row>
    <row r="14" spans="1:13" ht="16" x14ac:dyDescent="0.2">
      <c r="A14" s="12" t="s">
        <v>109</v>
      </c>
      <c r="B14" s="14">
        <v>13.7</v>
      </c>
      <c r="C14" s="13" t="s">
        <v>80</v>
      </c>
      <c r="D14" s="13">
        <v>17.899999999999999</v>
      </c>
      <c r="E14" s="13" t="s">
        <v>80</v>
      </c>
      <c r="F14" s="13">
        <v>22.7</v>
      </c>
      <c r="G14" s="13" t="s">
        <v>80</v>
      </c>
      <c r="H14" s="13">
        <v>5.2</v>
      </c>
      <c r="I14" s="13" t="s">
        <v>80</v>
      </c>
    </row>
    <row r="15" spans="1:13" ht="16" x14ac:dyDescent="0.2">
      <c r="A15" s="4" t="s">
        <v>81</v>
      </c>
      <c r="B15" s="4">
        <v>81604</v>
      </c>
      <c r="C15" s="4" t="s">
        <v>82</v>
      </c>
      <c r="D15" s="4">
        <v>101265</v>
      </c>
      <c r="E15" s="4" t="s">
        <v>83</v>
      </c>
      <c r="F15" s="4">
        <v>120217</v>
      </c>
      <c r="G15" s="4" t="s">
        <v>84</v>
      </c>
      <c r="H15" s="4">
        <v>49848</v>
      </c>
      <c r="I15" s="4" t="s">
        <v>85</v>
      </c>
    </row>
    <row r="16" spans="1:13" ht="16" x14ac:dyDescent="0.2">
      <c r="A16" s="4" t="s">
        <v>86</v>
      </c>
      <c r="B16" s="4">
        <v>114296</v>
      </c>
      <c r="C16" s="4" t="s">
        <v>87</v>
      </c>
      <c r="D16" s="4">
        <v>135271</v>
      </c>
      <c r="E16" s="4" t="s">
        <v>88</v>
      </c>
      <c r="F16" s="4">
        <v>156765</v>
      </c>
      <c r="G16" s="4" t="s">
        <v>89</v>
      </c>
      <c r="H16" s="4">
        <v>71542</v>
      </c>
      <c r="I16" s="4" t="s">
        <v>90</v>
      </c>
    </row>
    <row r="17" spans="1:9" ht="16" x14ac:dyDescent="0.2">
      <c r="A17" s="4" t="s">
        <v>91</v>
      </c>
    </row>
    <row r="18" spans="1:9" ht="32" x14ac:dyDescent="0.2">
      <c r="A18" s="6" t="s">
        <v>92</v>
      </c>
      <c r="B18" s="4">
        <v>36.9</v>
      </c>
      <c r="C18" s="4" t="s">
        <v>93</v>
      </c>
      <c r="D18" s="4" t="s">
        <v>93</v>
      </c>
      <c r="E18" s="4" t="s">
        <v>93</v>
      </c>
      <c r="F18" s="4" t="s">
        <v>93</v>
      </c>
      <c r="G18" s="4" t="s">
        <v>93</v>
      </c>
      <c r="H18" s="4" t="s">
        <v>93</v>
      </c>
      <c r="I18" s="4" t="s">
        <v>93</v>
      </c>
    </row>
    <row r="19" spans="1:9" ht="32" x14ac:dyDescent="0.2">
      <c r="A19" s="6" t="s">
        <v>94</v>
      </c>
      <c r="B19" s="4" t="s">
        <v>93</v>
      </c>
      <c r="C19" s="4" t="s">
        <v>93</v>
      </c>
      <c r="D19" s="4">
        <v>39.1</v>
      </c>
      <c r="E19" s="4" t="s">
        <v>93</v>
      </c>
      <c r="F19" s="4" t="s">
        <v>93</v>
      </c>
      <c r="G19" s="4" t="s">
        <v>93</v>
      </c>
      <c r="H19" s="4" t="s">
        <v>93</v>
      </c>
      <c r="I19" s="4" t="s">
        <v>93</v>
      </c>
    </row>
    <row r="20" spans="1:9" ht="32" x14ac:dyDescent="0.2">
      <c r="A20" s="6" t="s">
        <v>95</v>
      </c>
      <c r="B20" s="4" t="s">
        <v>93</v>
      </c>
      <c r="C20" s="4" t="s">
        <v>93</v>
      </c>
      <c r="D20" s="4" t="s">
        <v>93</v>
      </c>
      <c r="E20" s="4" t="s">
        <v>93</v>
      </c>
      <c r="F20" s="4" t="s">
        <v>93</v>
      </c>
      <c r="G20" s="4" t="s">
        <v>93</v>
      </c>
      <c r="H20" s="4">
        <v>31.8</v>
      </c>
      <c r="I20" s="4" t="s">
        <v>93</v>
      </c>
    </row>
    <row r="28" spans="1:9" x14ac:dyDescent="0.2">
      <c r="B28" s="11"/>
    </row>
  </sheetData>
  <mergeCells count="5">
    <mergeCell ref="B1:I1"/>
    <mergeCell ref="B2:C2"/>
    <mergeCell ref="D2:E2"/>
    <mergeCell ref="F2:G2"/>
    <mergeCell ref="H2:I2"/>
  </mergeCells>
  <printOptions gridLines="1"/>
  <pageMargins left="0.7" right="0.7" top="0.75" bottom="0.75" header="0.3" footer="0.3"/>
  <pageSetup pageOrder="overThenDown" orientation="landscape"/>
  <headerFooter>
    <oddHeader>&amp;LTable: ACSST1Y2024.S1901</oddHeader>
    <oddFooter>&amp;L&amp;Bdata.census.gov&amp;B | Measuring America's People, Places, and Economy &amp;R&amp;P</oddFooter>
    <evenHeader>&amp;LTable: ACSST1Y2024.S1901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Information</vt:lpstr>
      <vt:lpstr>Data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2026-03-13T18:19:17Z</dcterms:created>
  <dcterms:modified xsi:type="dcterms:W3CDTF">2026-03-13T18:36:11Z</dcterms:modified>
</cp:coreProperties>
</file>