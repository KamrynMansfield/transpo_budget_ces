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filterPrivacy="1"/>
  <xr:revisionPtr revIDLastSave="0" documentId="13_ncr:1_{EFB65D46-1353-3149-960E-0A35D48A7EC1}" xr6:coauthVersionLast="47" xr6:coauthVersionMax="47" xr10:uidLastSave="{00000000-0000-0000-0000-000000000000}"/>
  <bookViews>
    <workbookView xWindow="38400" yWindow="920" windowWidth="38400" windowHeight="19200" activeTab="1" xr2:uid="{00000000-000D-0000-FFFF-FFFF00000000}"/>
  </bookViews>
  <sheets>
    <sheet name="Information" sheetId="1" r:id="rId1"/>
    <sheet name="Data" sheetId="2" r:id="rId2"/>
  </sheets>
  <definedNames>
    <definedName name="_xlnm.Print_Titles" localSheetId="1">Data!$A:$A,Data!$1:$2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5" i="2" l="1"/>
  <c r="J44" i="2"/>
  <c r="K44" i="2" s="1"/>
  <c r="X7" i="2"/>
  <c r="V7" i="2"/>
  <c r="X5" i="2"/>
  <c r="V5" i="2"/>
  <c r="N6" i="2"/>
  <c r="L6" i="2"/>
  <c r="L4" i="2"/>
  <c r="N4" i="2"/>
  <c r="K71" i="2"/>
  <c r="K70" i="2"/>
  <c r="K69" i="2"/>
  <c r="J72" i="2"/>
  <c r="K72" i="2" s="1"/>
  <c r="M45" i="2"/>
  <c r="L44" i="2"/>
  <c r="M44" i="2" s="1"/>
  <c r="J5" i="2"/>
  <c r="J14" i="2"/>
  <c r="J6" i="2"/>
  <c r="J7" i="2" l="1"/>
</calcChain>
</file>

<file path=xl/sharedStrings.xml><?xml version="1.0" encoding="utf-8"?>
<sst xmlns="http://schemas.openxmlformats.org/spreadsheetml/2006/main" count="782" uniqueCount="495">
  <si>
    <t>Selected Social Characteristics in the United States</t>
  </si>
  <si>
    <t>Note: The table shown may have been modified by user selections. Some information may be missing.</t>
  </si>
  <si>
    <t>DATA NOTES</t>
  </si>
  <si>
    <t/>
  </si>
  <si>
    <t>TABLE ID:</t>
  </si>
  <si>
    <t>DP02</t>
  </si>
  <si>
    <t>SURVEY/PROGRAM:</t>
  </si>
  <si>
    <t>American Community Survey</t>
  </si>
  <si>
    <t>VINTAGE:</t>
  </si>
  <si>
    <t>2024</t>
  </si>
  <si>
    <t>DATASET:</t>
  </si>
  <si>
    <t>ACSDP1Y2024</t>
  </si>
  <si>
    <t>PRODUCT:</t>
  </si>
  <si>
    <t>ACS 1-Year Estimates Data Profiles</t>
  </si>
  <si>
    <t>UNIVERSE:</t>
  </si>
  <si>
    <t>None</t>
  </si>
  <si>
    <t>MLA:</t>
  </si>
  <si>
    <t>U.S. Census Bureau. "Selected Social Characteristics in the United States." American Community Survey, ACS 1-Year Estimates Data Profiles, Table DP02, https://data.census.gov/table/ACSDP1Y2024.DP02. Accessed on 13 Mar 2026.</t>
  </si>
  <si>
    <t>FTP URL:</t>
  </si>
  <si>
    <t>API URL:</t>
  </si>
  <si>
    <t>https://api.census.gov/data/2024/acs/acs1/profile</t>
  </si>
  <si>
    <t>USER SELECTIONS</t>
  </si>
  <si>
    <t>EXCLUDED COLUMNS</t>
  </si>
  <si>
    <t>APPLIED FILTERS</t>
  </si>
  <si>
    <t>APPLIED SORTS</t>
  </si>
  <si>
    <t>PIVOT &amp; GROUPING</t>
  </si>
  <si>
    <t>PIVOT COLUMNS</t>
  </si>
  <si>
    <t>PIVOT MODE</t>
  </si>
  <si>
    <t>Off</t>
  </si>
  <si>
    <t>ROW GROUPS</t>
  </si>
  <si>
    <t>VALUE COLUMNS</t>
  </si>
  <si>
    <t>WEB ADDRESS</t>
  </si>
  <si>
    <t>https://data.census.gov/table/ACSDP1Y2024.DP02</t>
  </si>
  <si>
    <t>TABLE NOTES</t>
  </si>
  <si>
    <t>Key Table Information</t>
  </si>
  <si>
    <t>Table Title</t>
  </si>
  <si>
    <t>Table ID</t>
  </si>
  <si>
    <t>ACSDP1Y2024.DP02</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</si>
  <si>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</si>
  <si>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</si>
  <si>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</si>
  <si>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</si>
  <si>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</si>
  <si>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</si>
  <si>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</si>
  <si>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</si>
  <si>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</si>
  <si>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</si>
  <si>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</si>
  <si>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</si>
  <si>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</si>
  <si>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</si>
  <si>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</si>
  <si>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</si>
  <si>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</si>
  <si>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</si>
  <si>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</si>
  <si>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</si>
  <si>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</si>
  <si>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</si>
  <si>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</si>
  <si>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</si>
  <si>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</si>
  <si>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Data-Specific Notes</t>
  </si>
  <si>
    <t>Some of the population groups in this table are listed in both ancestry and race profiles. For example, German may be included in either an ancestry or race table because the response can be captured from the ancestry or race question. Detailed White, Black or African American, and Some Other Race groups have historically been tabulated from the ancestry question on the American Community Survey (ACS). However, improvements made to the race question in 2020 led to more detailed race groups being collected. Beginning with the 2024 ACS data products, detailed race data for White, Black or African American, and Some Other Race groups are included in race tabulations. Differences in the way the ancestry and race questions are asked, processed, and tabulated may lead to differences between ancestry and race estimates for a given group. For more information on ancestry and race estimates, please see the ACS User Note, Overlapping Race and Ancestry Estimates in the American Community Survey Data Products website.
Ancestry listed in this table refers to the total number of people who responded with a particular ancestry; for example, the estimate given for German represents the number of people who listed German as either their first or second ancestry. This table lists only the largest ancestry groups; see the Detailed Tables for more categories. Race and Hispanic origin groups are not included in this table because data for those groups come from the Race and Hispanic origin questions rather than the ancestry question (see Demographic Table).
Data for year of entry of the native population reflect the year of entry into the U.S. by people who were born in Puerto Rico or U.S. Island Areas or born outside the U.S. to a U.S. citizen parent and who subsequently moved to the U.S.
The category "with a broadband Internet subscription" refers to those who said "Yes" to at least one of the following types of Internet subscriptions: Broadband such as cable, fiber optic, or DSL; a cellular data plan; satellite; a fixed wireless subscription; or other non-dial up subscription types.
An Internet "subscription" refers to a type of service that someone pays for to access the Internet such as a cellular data plan, broadband such as cable, fiber optic or DSL, or other type of service. This will normally refer to a service that someone is billed for directly for Internet alone or sometimes as part of a bundle.
"With a computer" includes those who said "Yes" to at least one of the following types of computers: Desktop or laptop; smartphone; tablet or other portable wireless computer; or some other type of computer.</t>
  </si>
  <si>
    <t>Additional Information</t>
  </si>
  <si>
    <t>Contact Information</t>
  </si>
  <si>
    <t>Contact the Census Bureau Customer Help Center at 1-800-923-8282 or submit a question at ask.census.gov.</t>
  </si>
  <si>
    <t>Suggested Citation</t>
  </si>
  <si>
    <t>U.S. Census Bureau. "Selected Social Characteristics in the United States" American Community Survey, ACS 1-Year Estimates Data Profiles, Table DP02, 2024, https://data.census.gov/table/ACSDP1Y2024.DP02?q=DP02: Accessed on March 13, 2026.</t>
  </si>
  <si>
    <t>COLUMN NOTES</t>
  </si>
  <si>
    <t>United States</t>
  </si>
  <si>
    <t>Label</t>
  </si>
  <si>
    <t>Estimate</t>
  </si>
  <si>
    <t>Margin of Error</t>
  </si>
  <si>
    <t>Percent</t>
  </si>
  <si>
    <t>Percent Margin of Error</t>
  </si>
  <si>
    <t>HOUSEHOLDS BY TYPE</t>
  </si>
  <si>
    <t>Total households</t>
  </si>
  <si>
    <t>(X)</t>
  </si>
  <si>
    <t>Married-couple household</t>
  </si>
  <si>
    <t>46.7%</t>
  </si>
  <si>
    <t>±0.1</t>
  </si>
  <si>
    <t>With children of the householder under 18 years</t>
  </si>
  <si>
    <t>17.3%</t>
  </si>
  <si>
    <t>Cohabiting couple household</t>
  </si>
  <si>
    <t>7.2%</t>
  </si>
  <si>
    <t>2.2%</t>
  </si>
  <si>
    <t>18.5%</t>
  </si>
  <si>
    <t>1.2%</t>
  </si>
  <si>
    <t>Householder living alone</t>
  </si>
  <si>
    <t>13.1%</t>
  </si>
  <si>
    <t>65 years and over</t>
  </si>
  <si>
    <t>4.1%</t>
  </si>
  <si>
    <t>27.6%</t>
  </si>
  <si>
    <t>4.6%</t>
  </si>
  <si>
    <t>15.8%</t>
  </si>
  <si>
    <t>7.8%</t>
  </si>
  <si>
    <t>Households with one or more people under 18 years</t>
  </si>
  <si>
    <t>28.5%</t>
  </si>
  <si>
    <t>Households with one or more people 65 years and over</t>
  </si>
  <si>
    <t>32.8%</t>
  </si>
  <si>
    <t>Average household size</t>
  </si>
  <si>
    <t>2.50</t>
  </si>
  <si>
    <t>±0.01</t>
  </si>
  <si>
    <t>Average family size</t>
  </si>
  <si>
    <t>3.11</t>
  </si>
  <si>
    <t>RELATIONSHIP</t>
  </si>
  <si>
    <t>Population in households</t>
  </si>
  <si>
    <t>*****</t>
  </si>
  <si>
    <t>Householder</t>
  </si>
  <si>
    <t>40.0%</t>
  </si>
  <si>
    <t>Spouse</t>
  </si>
  <si>
    <t>18.7%</t>
  </si>
  <si>
    <t>Unmarried partner</t>
  </si>
  <si>
    <t>2.9%</t>
  </si>
  <si>
    <t>Child</t>
  </si>
  <si>
    <t>28.4%</t>
  </si>
  <si>
    <t>Other relatives</t>
  </si>
  <si>
    <t>7.0%</t>
  </si>
  <si>
    <t>Other nonrelatives</t>
  </si>
  <si>
    <t>3.0%</t>
  </si>
  <si>
    <t>MARITAL STATUS</t>
  </si>
  <si>
    <t>Males 15 years and over</t>
  </si>
  <si>
    <t>Never married</t>
  </si>
  <si>
    <t>37.6%</t>
  </si>
  <si>
    <t>49.6%</t>
  </si>
  <si>
    <t>Separated</t>
  </si>
  <si>
    <t>1.4%</t>
  </si>
  <si>
    <t>Widowed</t>
  </si>
  <si>
    <t>2.6%</t>
  </si>
  <si>
    <t>Divorced</t>
  </si>
  <si>
    <t>8.8%</t>
  </si>
  <si>
    <t>Females 15 years and over</t>
  </si>
  <si>
    <t>32.1%</t>
  </si>
  <si>
    <t>46.2%</t>
  </si>
  <si>
    <t>1.8%</t>
  </si>
  <si>
    <t>8.2%</t>
  </si>
  <si>
    <t>11.7%</t>
  </si>
  <si>
    <t>FERTILITY</t>
  </si>
  <si>
    <t>Number of women 15 to 50 years old who had a birth in the past 12 months</t>
  </si>
  <si>
    <t>30.1%</t>
  </si>
  <si>
    <t>±0.5</t>
  </si>
  <si>
    <t>26</t>
  </si>
  <si>
    <t>±1</t>
  </si>
  <si>
    <t>50</t>
  </si>
  <si>
    <t>7</t>
  </si>
  <si>
    <t>79</t>
  </si>
  <si>
    <t>35</t>
  </si>
  <si>
    <t>GRANDPARENTS</t>
  </si>
  <si>
    <t>Number of grandparents living with own grandchildren under 18 years</t>
  </si>
  <si>
    <t>Grandparents responsible for grandchildren</t>
  </si>
  <si>
    <t>30.7%</t>
  </si>
  <si>
    <t>±0.4</t>
  </si>
  <si>
    <t>Years responsible for grandchildren</t>
  </si>
  <si>
    <t>Less than 1 year</t>
  </si>
  <si>
    <t>5.1%</t>
  </si>
  <si>
    <t>±0.2</t>
  </si>
  <si>
    <t>1 or 2 years</t>
  </si>
  <si>
    <t>5.9%</t>
  </si>
  <si>
    <t>3 or 4 years</t>
  </si>
  <si>
    <t>4.5%</t>
  </si>
  <si>
    <t>5 or more years</t>
  </si>
  <si>
    <t>15.3%</t>
  </si>
  <si>
    <t>±0.3</t>
  </si>
  <si>
    <t>Number of grandparents responsible for own grandchildren under 18 years</t>
  </si>
  <si>
    <t>Who are female</t>
  </si>
  <si>
    <t>63.6%</t>
  </si>
  <si>
    <t>Who are married</t>
  </si>
  <si>
    <t>66.1%</t>
  </si>
  <si>
    <t>±0.8</t>
  </si>
  <si>
    <t>SCHOOL ENROLLMENT</t>
  </si>
  <si>
    <t>Population 3 years and over enrolled in school</t>
  </si>
  <si>
    <t>5.8%</t>
  </si>
  <si>
    <t>Kindergarten</t>
  </si>
  <si>
    <t>5.0%</t>
  </si>
  <si>
    <t>Elementary school (grades 1-8)</t>
  </si>
  <si>
    <t>40.4%</t>
  </si>
  <si>
    <t>High school (grades 9-12)</t>
  </si>
  <si>
    <t>21.9%</t>
  </si>
  <si>
    <t>College or graduate school</t>
  </si>
  <si>
    <t>26.9%</t>
  </si>
  <si>
    <t>EDUCATIONAL ATTAINMENT</t>
  </si>
  <si>
    <t>Population 25 years and over</t>
  </si>
  <si>
    <t>Less than 9th grade</t>
  </si>
  <si>
    <t>5.5%</t>
  </si>
  <si>
    <t>High school graduate (includes equivalency)</t>
  </si>
  <si>
    <t>25.7%</t>
  </si>
  <si>
    <t>Associate's degree</t>
  </si>
  <si>
    <t>Bachelor's degree</t>
  </si>
  <si>
    <t>22.1%</t>
  </si>
  <si>
    <t>Graduate or professional degree</t>
  </si>
  <si>
    <t>14.7%</t>
  </si>
  <si>
    <t>High school graduate or higher</t>
  </si>
  <si>
    <t>89.9%</t>
  </si>
  <si>
    <t>Bachelor's degree or higher</t>
  </si>
  <si>
    <t>36.8%</t>
  </si>
  <si>
    <t>VETERAN STATUS</t>
  </si>
  <si>
    <t>Civilian population 18 years and over</t>
  </si>
  <si>
    <t>Civilian veterans</t>
  </si>
  <si>
    <t>DISABILITY STATUS OF THE CIVILIAN NONINSTITUTIONALIZED POPULATION</t>
  </si>
  <si>
    <t>Total Civilian Noninstitutionalized Population</t>
  </si>
  <si>
    <t>With a disability</t>
  </si>
  <si>
    <t>13.7%</t>
  </si>
  <si>
    <t>Under 18 years</t>
  </si>
  <si>
    <t>5.2%</t>
  </si>
  <si>
    <t>18 to 64 years</t>
  </si>
  <si>
    <t>11.2%</t>
  </si>
  <si>
    <t>32.5%</t>
  </si>
  <si>
    <t>RESIDENCE 1 YEAR AGO</t>
  </si>
  <si>
    <t>Population 1 year and over</t>
  </si>
  <si>
    <t>Same house</t>
  </si>
  <si>
    <t>88.2%</t>
  </si>
  <si>
    <t>Different house (in the U.S. or abroad)</t>
  </si>
  <si>
    <t>11.8%</t>
  </si>
  <si>
    <t>Different house in the U.S.</t>
  </si>
  <si>
    <t>11.0%</t>
  </si>
  <si>
    <t>Same county</t>
  </si>
  <si>
    <t>Different county</t>
  </si>
  <si>
    <t>Same state</t>
  </si>
  <si>
    <t>Different state</t>
  </si>
  <si>
    <t>2.1%</t>
  </si>
  <si>
    <t>Abroad</t>
  </si>
  <si>
    <t>0.8%</t>
  </si>
  <si>
    <t>PLACE OF BIRTH</t>
  </si>
  <si>
    <t>Total population</t>
  </si>
  <si>
    <t>Native</t>
  </si>
  <si>
    <t>85.2%</t>
  </si>
  <si>
    <t>Born in United States</t>
  </si>
  <si>
    <t>83.5%</t>
  </si>
  <si>
    <t>State of residence</t>
  </si>
  <si>
    <t>56.5%</t>
  </si>
  <si>
    <t>27.0%</t>
  </si>
  <si>
    <t>1.7%</t>
  </si>
  <si>
    <t>Foreign-born</t>
  </si>
  <si>
    <t>14.8%</t>
  </si>
  <si>
    <t>U.S. CITIZENSHIP STATUS</t>
  </si>
  <si>
    <t>Foreign-born population</t>
  </si>
  <si>
    <t>Naturalized U.S. citizen</t>
  </si>
  <si>
    <t>51.4%</t>
  </si>
  <si>
    <t>Not a U.S. citizen</t>
  </si>
  <si>
    <t>48.6%</t>
  </si>
  <si>
    <t>YEAR OF ENTRY</t>
  </si>
  <si>
    <t>Population born outside the United States</t>
  </si>
  <si>
    <t>Entered 2010 or later</t>
  </si>
  <si>
    <t>35.9%</t>
  </si>
  <si>
    <t>±0.6</t>
  </si>
  <si>
    <t>Entered before 2010</t>
  </si>
  <si>
    <t>64.1%</t>
  </si>
  <si>
    <t>37.7%</t>
  </si>
  <si>
    <t>62.3%</t>
  </si>
  <si>
    <t>WORLD REGION OF BIRTH OF FOREIGN-BORN</t>
  </si>
  <si>
    <t>Europe</t>
  </si>
  <si>
    <t>9.7%</t>
  </si>
  <si>
    <t>Asia</t>
  </si>
  <si>
    <t>30.8%</t>
  </si>
  <si>
    <t>Africa</t>
  </si>
  <si>
    <t>Oceania</t>
  </si>
  <si>
    <t>0.6%</t>
  </si>
  <si>
    <t>Latin America</t>
  </si>
  <si>
    <t>Northern America</t>
  </si>
  <si>
    <t>LANGUAGE SPOKEN AT HOME</t>
  </si>
  <si>
    <t>Population 5 years and over</t>
  </si>
  <si>
    <t>English only</t>
  </si>
  <si>
    <t>77.0%</t>
  </si>
  <si>
    <t>Language other than English</t>
  </si>
  <si>
    <t>23.0%</t>
  </si>
  <si>
    <t>Speak English less than "very well"</t>
  </si>
  <si>
    <t>9.0%</t>
  </si>
  <si>
    <t>Spanish</t>
  </si>
  <si>
    <t>13.9%</t>
  </si>
  <si>
    <t>5.7%</t>
  </si>
  <si>
    <t>Other Indo-European languages</t>
  </si>
  <si>
    <t>1.3%</t>
  </si>
  <si>
    <t>Asian and Pacific Islander languages</t>
  </si>
  <si>
    <t>3.7%</t>
  </si>
  <si>
    <t>1.6%</t>
  </si>
  <si>
    <t>Other languages</t>
  </si>
  <si>
    <t>0.4%</t>
  </si>
  <si>
    <t>ANCESTRY</t>
  </si>
  <si>
    <t>American</t>
  </si>
  <si>
    <t>5.3%</t>
  </si>
  <si>
    <t>Arab</t>
  </si>
  <si>
    <t>0.7%</t>
  </si>
  <si>
    <t>Czech</t>
  </si>
  <si>
    <t>Danish</t>
  </si>
  <si>
    <t>0.3%</t>
  </si>
  <si>
    <t>Dutch</t>
  </si>
  <si>
    <t>0.9%</t>
  </si>
  <si>
    <t>English</t>
  </si>
  <si>
    <t>9.1%</t>
  </si>
  <si>
    <t>French (except Basque)</t>
  </si>
  <si>
    <t>French Canadian</t>
  </si>
  <si>
    <t>0.5%</t>
  </si>
  <si>
    <t>German</t>
  </si>
  <si>
    <t>Greek</t>
  </si>
  <si>
    <t>Hungarian</t>
  </si>
  <si>
    <t>Irish</t>
  </si>
  <si>
    <t>9.5%</t>
  </si>
  <si>
    <t>Italian</t>
  </si>
  <si>
    <t>4.8%</t>
  </si>
  <si>
    <t>Lithuanian</t>
  </si>
  <si>
    <t>0.2%</t>
  </si>
  <si>
    <t>Norwegian</t>
  </si>
  <si>
    <t>1.1%</t>
  </si>
  <si>
    <t>Polish</t>
  </si>
  <si>
    <t>2.5%</t>
  </si>
  <si>
    <t>Portuguese</t>
  </si>
  <si>
    <t>Russian</t>
  </si>
  <si>
    <t>Scotch-Irish</t>
  </si>
  <si>
    <t>Scottish</t>
  </si>
  <si>
    <t>1.9%</t>
  </si>
  <si>
    <t>Slovak</t>
  </si>
  <si>
    <t>Subsaharan African</t>
  </si>
  <si>
    <t>Swedish</t>
  </si>
  <si>
    <t>1.0%</t>
  </si>
  <si>
    <t>Swiss</t>
  </si>
  <si>
    <t>Ukrainian</t>
  </si>
  <si>
    <t>Welsh</t>
  </si>
  <si>
    <t>West Indian (excluding Hispanic origin groups)</t>
  </si>
  <si>
    <t>COMPUTERS AND INTERNET USE</t>
  </si>
  <si>
    <t>With a computer</t>
  </si>
  <si>
    <t>96.6%</t>
  </si>
  <si>
    <t>With a broadband Internet subscription</t>
  </si>
  <si>
    <t>93.2%</t>
  </si>
  <si>
    <t>±140273</t>
  </si>
  <si>
    <t>±185731</t>
  </si>
  <si>
    <t>±89108</t>
  </si>
  <si>
    <t>±58633</t>
  </si>
  <si>
    <t>±33308</t>
  </si>
  <si>
    <t>Male householder no spouse/partner present</t>
  </si>
  <si>
    <t>±87990</t>
  </si>
  <si>
    <t>±27380</t>
  </si>
  <si>
    <t>±81071</t>
  </si>
  <si>
    <t>±40174</t>
  </si>
  <si>
    <t>Female householder no spouse/partner present</t>
  </si>
  <si>
    <t>±82209</t>
  </si>
  <si>
    <t>±58105</t>
  </si>
  <si>
    <t>±83023</t>
  </si>
  <si>
    <t>±43117</t>
  </si>
  <si>
    <t>±90273</t>
  </si>
  <si>
    <t>±68525</t>
  </si>
  <si>
    <t>±183667</t>
  </si>
  <si>
    <t>±63223</t>
  </si>
  <si>
    <t>±152603</t>
  </si>
  <si>
    <t>±146158</t>
  </si>
  <si>
    <t>±129871</t>
  </si>
  <si>
    <t>±33187</t>
  </si>
  <si>
    <t>±115324</t>
  </si>
  <si>
    <t>Now married except separated</t>
  </si>
  <si>
    <t>±163740</t>
  </si>
  <si>
    <t>±26733</t>
  </si>
  <si>
    <t>±32583</t>
  </si>
  <si>
    <t>±68946</t>
  </si>
  <si>
    <t>±29790</t>
  </si>
  <si>
    <t>±112912</t>
  </si>
  <si>
    <t>±178548</t>
  </si>
  <si>
    <t>±32615</t>
  </si>
  <si>
    <t>±54267</t>
  </si>
  <si>
    <t>±76768</t>
  </si>
  <si>
    <t>±36997</t>
  </si>
  <si>
    <t>Unmarried women (widowed divorced and never married)</t>
  </si>
  <si>
    <t>±24077</t>
  </si>
  <si>
    <t>Per 1000 unmarried women</t>
  </si>
  <si>
    <t>Per 1000 women 15 to 50 years old</t>
  </si>
  <si>
    <t>Per 1000 women 15 to 19 years old</t>
  </si>
  <si>
    <t>Per 1000 women 20 to 34 years old</t>
  </si>
  <si>
    <t>Per 1000 women 35 to 50 years old</t>
  </si>
  <si>
    <t>±62042</t>
  </si>
  <si>
    <t>±34197</t>
  </si>
  <si>
    <t>±12338</t>
  </si>
  <si>
    <t>±13077</t>
  </si>
  <si>
    <t>±10887</t>
  </si>
  <si>
    <t>±21403</t>
  </si>
  <si>
    <t>±20946</t>
  </si>
  <si>
    <t>±31086</t>
  </si>
  <si>
    <t>±113618</t>
  </si>
  <si>
    <t>Nursery school preschool</t>
  </si>
  <si>
    <t>±42185</t>
  </si>
  <si>
    <t>±36613</t>
  </si>
  <si>
    <t>±67302</t>
  </si>
  <si>
    <t>±55104</t>
  </si>
  <si>
    <t>±100590</t>
  </si>
  <si>
    <t>±69861</t>
  </si>
  <si>
    <t>±89392</t>
  </si>
  <si>
    <t>9th to 12th grade no diploma</t>
  </si>
  <si>
    <t>±98665</t>
  </si>
  <si>
    <t>±181262</t>
  </si>
  <si>
    <t>Some college no degree</t>
  </si>
  <si>
    <t>±119821</t>
  </si>
  <si>
    <t>±84517</t>
  </si>
  <si>
    <t>±177628</t>
  </si>
  <si>
    <t>±155048</t>
  </si>
  <si>
    <t>±205306</t>
  </si>
  <si>
    <t>±300131</t>
  </si>
  <si>
    <t>±36676</t>
  </si>
  <si>
    <t>±75366</t>
  </si>
  <si>
    <t>±20943</t>
  </si>
  <si>
    <t>±140932</t>
  </si>
  <si>
    <t>±31474</t>
  </si>
  <si>
    <t>±41746</t>
  </si>
  <si>
    <t>±32720</t>
  </si>
  <si>
    <t>±102020</t>
  </si>
  <si>
    <t>±25206</t>
  </si>
  <si>
    <t>±66457</t>
  </si>
  <si>
    <t>±32733</t>
  </si>
  <si>
    <t>±210231</t>
  </si>
  <si>
    <t>±206217</t>
  </si>
  <si>
    <t>±202359</t>
  </si>
  <si>
    <t>±155113</t>
  </si>
  <si>
    <t>±112832</t>
  </si>
  <si>
    <t>±84488</t>
  </si>
  <si>
    <t>±75154</t>
  </si>
  <si>
    <t>±45595</t>
  </si>
  <si>
    <t>±162660</t>
  </si>
  <si>
    <t>±156027</t>
  </si>
  <si>
    <t>±201135</t>
  </si>
  <si>
    <t>±204628</t>
  </si>
  <si>
    <t>Born in Puerto Rico U.S. Island areas or born abroad to American parent(s)</t>
  </si>
  <si>
    <t>±60432</t>
  </si>
  <si>
    <t>±162664</t>
  </si>
  <si>
    <t>±113967</t>
  </si>
  <si>
    <t>±160731</t>
  </si>
  <si>
    <t>±156031</t>
  </si>
  <si>
    <t>±44956</t>
  </si>
  <si>
    <t>±43362</t>
  </si>
  <si>
    <t>±141306</t>
  </si>
  <si>
    <t>±98880</t>
  </si>
  <si>
    <t>Foreign-born population excluding population born at sea</t>
  </si>
  <si>
    <t>±162666</t>
  </si>
  <si>
    <t>±55103</t>
  </si>
  <si>
    <t>±68123</t>
  </si>
  <si>
    <t>±50968</t>
  </si>
  <si>
    <t>±13393</t>
  </si>
  <si>
    <t>±124090</t>
  </si>
  <si>
    <t>±19750</t>
  </si>
  <si>
    <t>±18702</t>
  </si>
  <si>
    <t>±225544</t>
  </si>
  <si>
    <t>±218115</t>
  </si>
  <si>
    <t>±156029</t>
  </si>
  <si>
    <t>±143192</t>
  </si>
  <si>
    <t>±123301</t>
  </si>
  <si>
    <t>±101182</t>
  </si>
  <si>
    <t>±57368</t>
  </si>
  <si>
    <t>±68685</t>
  </si>
  <si>
    <t>±46478</t>
  </si>
  <si>
    <t>±67974</t>
  </si>
  <si>
    <t>±32974</t>
  </si>
  <si>
    <t>±120817</t>
  </si>
  <si>
    <t>±57616</t>
  </si>
  <si>
    <t>±21334</t>
  </si>
  <si>
    <t>±24959</t>
  </si>
  <si>
    <t>±43171</t>
  </si>
  <si>
    <t>±210386</t>
  </si>
  <si>
    <t>±59242</t>
  </si>
  <si>
    <t>±31104</t>
  </si>
  <si>
    <t>±163659</t>
  </si>
  <si>
    <t>±32880</t>
  </si>
  <si>
    <t>±26437</t>
  </si>
  <si>
    <t>±116183</t>
  </si>
  <si>
    <t>±94914</t>
  </si>
  <si>
    <t>±15876</t>
  </si>
  <si>
    <t>±40158</t>
  </si>
  <si>
    <t>±80154</t>
  </si>
  <si>
    <t>±32336</t>
  </si>
  <si>
    <t>±36090</t>
  </si>
  <si>
    <t>±36953</t>
  </si>
  <si>
    <t>±52916</t>
  </si>
  <si>
    <t>±16048</t>
  </si>
  <si>
    <t>±76291</t>
  </si>
  <si>
    <t>±39689</t>
  </si>
  <si>
    <t>±21778</t>
  </si>
  <si>
    <t>±36402</t>
  </si>
  <si>
    <t>±30524</t>
  </si>
  <si>
    <t>±63413</t>
  </si>
  <si>
    <t>±154830</t>
  </si>
  <si>
    <t>±167596</t>
  </si>
  <si>
    <t>total married</t>
  </si>
  <si>
    <t>married with kids</t>
  </si>
  <si>
    <t>not married total</t>
  </si>
  <si>
    <t>not married with kids</t>
  </si>
  <si>
    <t>married without kids</t>
  </si>
  <si>
    <t>not married without kids</t>
  </si>
  <si>
    <t>Married with kids</t>
  </si>
  <si>
    <t>Married without kids</t>
  </si>
  <si>
    <t>Not married with kids</t>
  </si>
  <si>
    <t>Not married without kids</t>
  </si>
  <si>
    <t>Married Women</t>
  </si>
  <si>
    <t>total</t>
  </si>
  <si>
    <t>lower</t>
  </si>
  <si>
    <t>37</t>
  </si>
  <si>
    <t>56</t>
  </si>
  <si>
    <t>28</t>
  </si>
  <si>
    <t>104</t>
  </si>
  <si>
    <t>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</si>
</sst>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8" formatCode="0.0%"/>
    <numFmt numFmtId="171" formatCode="_(* #,##0_);_(* \(#,##0\);_(* &quot;-&quot;??_);_(@_)"/>
  </numFmts>
  <fonts count="4" x14ac:knownFonts="1">
    <font>
      <sz val="11"/>
      <color theme="1"/>
      <name val="Calibri"/>
      <family val="2"/>
      <scheme val="minor"/>
    </font>
    <font>
      <b/>
      <sz val="16"/>
      <name val="Calibri"/>
      <family val="2"/>
    </font>
    <font>
      <b/>
      <sz val="11"/>
      <name val="Calibri"/>
      <family val="2"/>
    </font>
    <font>
      <sz val="11"/>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6" tint="0.79998168889431442"/>
        <bgColor indexed="64"/>
      </patternFill>
    </fill>
  </fills>
  <borders count="12">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49">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xf numFmtId="0" fontId="0" fillId="0" borderId="0" xfId="0" applyAlignment="1">
      <alignment wrapText="1" indent="5"/>
    </xf>
    <xf numFmtId="0" fontId="1" fillId="0" borderId="1" xfId="0" applyFont="1" applyBorder="1" applyAlignment="1">
      <alignment horizontal="center" vertical="center" wrapText="1" shrinkToFit="1"/>
    </xf>
    <xf numFmtId="0" fontId="0" fillId="0" borderId="0" xfId="0" applyAlignment="1">
      <alignment vertical="top" wrapText="1"/>
    </xf>
    <xf numFmtId="0" fontId="2" fillId="0" borderId="0" xfId="0" applyFont="1"/>
    <xf numFmtId="0" fontId="2" fillId="0" borderId="2" xfId="0" applyFont="1" applyBorder="1" applyAlignment="1">
      <alignment horizontal="left" vertical="center" wrapText="1" indent="1"/>
    </xf>
    <xf numFmtId="0" fontId="0" fillId="2" borderId="0" xfId="0" applyFill="1"/>
    <xf numFmtId="0" fontId="0" fillId="2" borderId="0" xfId="0" applyFill="1" applyAlignment="1">
      <alignment wrapText="1" indent="2"/>
    </xf>
    <xf numFmtId="0" fontId="0" fillId="2" borderId="0" xfId="0" applyFill="1" applyAlignment="1">
      <alignment wrapText="1"/>
    </xf>
    <xf numFmtId="0" fontId="0" fillId="3" borderId="0" xfId="0" applyFill="1" applyAlignment="1">
      <alignment wrapText="1" indent="3"/>
    </xf>
    <xf numFmtId="0" fontId="0" fillId="3" borderId="0" xfId="0" applyFill="1" applyAlignment="1">
      <alignment wrapText="1"/>
    </xf>
    <xf numFmtId="0" fontId="0" fillId="0" borderId="0" xfId="0" applyFill="1"/>
    <xf numFmtId="9" fontId="0" fillId="0" borderId="0" xfId="2" applyFont="1"/>
    <xf numFmtId="168" fontId="0" fillId="0" borderId="0" xfId="2" applyNumberFormat="1" applyFont="1"/>
    <xf numFmtId="0" fontId="0" fillId="0" borderId="0" xfId="0" applyAlignment="1">
      <alignment horizontal="center"/>
    </xf>
    <xf numFmtId="168" fontId="0" fillId="0" borderId="0" xfId="2" applyNumberFormat="1" applyFont="1" applyAlignment="1">
      <alignment horizontal="center"/>
    </xf>
    <xf numFmtId="0" fontId="0" fillId="0" borderId="0" xfId="0" applyAlignment="1"/>
    <xf numFmtId="0" fontId="0" fillId="0" borderId="0" xfId="0" applyAlignment="1">
      <alignment horizontal="center" vertical="center" wrapText="1"/>
    </xf>
    <xf numFmtId="168" fontId="0" fillId="0" borderId="3" xfId="2" applyNumberFormat="1" applyFont="1" applyBorder="1" applyAlignment="1">
      <alignment horizontal="center" vertical="center"/>
    </xf>
    <xf numFmtId="168" fontId="0" fillId="0" borderId="4" xfId="2" applyNumberFormat="1" applyFont="1" applyBorder="1" applyAlignment="1">
      <alignment horizontal="center" vertical="center"/>
    </xf>
    <xf numFmtId="168" fontId="0" fillId="0" borderId="5" xfId="2" applyNumberFormat="1" applyFont="1" applyBorder="1" applyAlignment="1">
      <alignment horizontal="center" vertical="center"/>
    </xf>
    <xf numFmtId="168" fontId="0" fillId="0" borderId="6" xfId="2" applyNumberFormat="1"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0" xfId="0" applyFill="1" applyBorder="1" applyAlignment="1">
      <alignment horizontal="left" vertical="center"/>
    </xf>
    <xf numFmtId="0" fontId="0" fillId="0" borderId="11" xfId="0" applyBorder="1" applyAlignment="1">
      <alignment horizontal="left" vertical="center"/>
    </xf>
    <xf numFmtId="171" fontId="0" fillId="0" borderId="0" xfId="1" applyNumberFormat="1" applyFont="1" applyAlignment="1">
      <alignment wrapText="1"/>
    </xf>
    <xf numFmtId="171" fontId="0" fillId="0" borderId="0" xfId="1" applyNumberFormat="1" applyFont="1"/>
    <xf numFmtId="0" fontId="0" fillId="0" borderId="0" xfId="0" applyAlignment="1">
      <alignment horizontal="center" wrapText="1"/>
    </xf>
    <xf numFmtId="171" fontId="0" fillId="0" borderId="3" xfId="1" applyNumberFormat="1" applyFont="1" applyBorder="1" applyAlignment="1">
      <alignment horizontal="center" vertical="center"/>
    </xf>
    <xf numFmtId="0" fontId="0" fillId="0" borderId="4" xfId="0" applyBorder="1" applyAlignment="1">
      <alignment horizontal="center" vertical="center"/>
    </xf>
    <xf numFmtId="168" fontId="0" fillId="0" borderId="4" xfId="2" applyNumberFormat="1" applyFont="1" applyBorder="1" applyAlignment="1">
      <alignment horizontal="center" vertical="center"/>
    </xf>
    <xf numFmtId="171" fontId="0" fillId="0" borderId="5" xfId="1" applyNumberFormat="1" applyFont="1" applyBorder="1" applyAlignment="1">
      <alignment horizontal="center" vertical="center"/>
    </xf>
    <xf numFmtId="0" fontId="0" fillId="0" borderId="6" xfId="0" applyBorder="1" applyAlignment="1">
      <alignment horizontal="center" vertical="center"/>
    </xf>
    <xf numFmtId="0" fontId="0" fillId="0" borderId="7" xfId="0" applyBorder="1"/>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58"/>
  <sheetViews>
    <sheetView workbookViewId="0">
      <selection sqref="A1:B1"/>
    </sheetView>
  </sheetViews>
  <sheetFormatPr baseColWidth="10" defaultColWidth="8.83203125" defaultRowHeight="15" x14ac:dyDescent="0.2"/>
  <cols>
    <col min="1" max="1" width="25" style="1" customWidth="1"/>
    <col min="2" max="2" width="80" style="1" customWidth="1"/>
    <col min="3" max="3" width="20" customWidth="1"/>
  </cols>
  <sheetData>
    <row r="1" spans="1:3" ht="80" customHeight="1" x14ac:dyDescent="0.2">
      <c r="A1" s="11" t="s">
        <v>0</v>
      </c>
      <c r="B1" s="11"/>
      <c r="C1" s="2"/>
    </row>
    <row r="2" spans="1:3" x14ac:dyDescent="0.2">
      <c r="A2" s="12"/>
      <c r="B2" s="12"/>
      <c r="C2" s="12"/>
    </row>
    <row r="3" spans="1:3" x14ac:dyDescent="0.2">
      <c r="A3" s="13" t="s">
        <v>1</v>
      </c>
      <c r="B3" s="13"/>
      <c r="C3" s="13"/>
    </row>
    <row r="4" spans="1:3" x14ac:dyDescent="0.2">
      <c r="A4" s="12"/>
      <c r="B4" s="12"/>
      <c r="C4" s="12"/>
    </row>
    <row r="5" spans="1:3" ht="21.25" customHeight="1" x14ac:dyDescent="0.2">
      <c r="A5" s="3" t="s">
        <v>2</v>
      </c>
      <c r="B5" s="12" t="s">
        <v>3</v>
      </c>
      <c r="C5" s="12"/>
    </row>
    <row r="6" spans="1:3" ht="21.25" customHeight="1" x14ac:dyDescent="0.2">
      <c r="A6" s="1" t="s">
        <v>4</v>
      </c>
      <c r="B6" s="12" t="s">
        <v>5</v>
      </c>
      <c r="C6" s="12"/>
    </row>
    <row r="7" spans="1:3" ht="21.25" customHeight="1" x14ac:dyDescent="0.2">
      <c r="A7" s="1" t="s">
        <v>6</v>
      </c>
      <c r="B7" s="12" t="s">
        <v>7</v>
      </c>
      <c r="C7" s="12"/>
    </row>
    <row r="8" spans="1:3" ht="21.25" customHeight="1" x14ac:dyDescent="0.2">
      <c r="A8" s="1" t="s">
        <v>8</v>
      </c>
      <c r="B8" s="12" t="s">
        <v>9</v>
      </c>
      <c r="C8" s="12"/>
    </row>
    <row r="9" spans="1:3" ht="21.25" customHeight="1" x14ac:dyDescent="0.2">
      <c r="A9" s="1" t="s">
        <v>10</v>
      </c>
      <c r="B9" s="12" t="s">
        <v>11</v>
      </c>
      <c r="C9" s="12"/>
    </row>
    <row r="10" spans="1:3" ht="21.25" customHeight="1" x14ac:dyDescent="0.2">
      <c r="A10" s="1" t="s">
        <v>12</v>
      </c>
      <c r="B10" s="12" t="s">
        <v>13</v>
      </c>
      <c r="C10" s="12"/>
    </row>
    <row r="11" spans="1:3" ht="21.25" customHeight="1" x14ac:dyDescent="0.2">
      <c r="A11" s="1" t="s">
        <v>14</v>
      </c>
      <c r="B11" s="12" t="s">
        <v>15</v>
      </c>
      <c r="C11" s="12"/>
    </row>
    <row r="12" spans="1:3" ht="64" customHeight="1" x14ac:dyDescent="0.2">
      <c r="A12" s="1" t="s">
        <v>16</v>
      </c>
      <c r="B12" s="12" t="s">
        <v>17</v>
      </c>
      <c r="C12" s="12"/>
    </row>
    <row r="13" spans="1:3" ht="21.25" customHeight="1" x14ac:dyDescent="0.2">
      <c r="A13" s="1" t="s">
        <v>18</v>
      </c>
      <c r="B13" s="12" t="s">
        <v>15</v>
      </c>
      <c r="C13" s="12"/>
    </row>
    <row r="14" spans="1:3" ht="21.25" customHeight="1" x14ac:dyDescent="0.2">
      <c r="A14" s="1" t="s">
        <v>19</v>
      </c>
      <c r="B14" s="12" t="s">
        <v>20</v>
      </c>
      <c r="C14" s="12"/>
    </row>
    <row r="15" spans="1:3" x14ac:dyDescent="0.2">
      <c r="A15" s="12"/>
      <c r="B15" s="12"/>
      <c r="C15" s="12"/>
    </row>
    <row r="16" spans="1:3" ht="21.25" customHeight="1" x14ac:dyDescent="0.2">
      <c r="A16" s="3" t="s">
        <v>21</v>
      </c>
      <c r="B16" s="12" t="s">
        <v>15</v>
      </c>
      <c r="C16" s="12"/>
    </row>
    <row r="17" spans="1:3" x14ac:dyDescent="0.2">
      <c r="A17" s="12"/>
      <c r="B17" s="12"/>
      <c r="C17" s="12"/>
    </row>
    <row r="18" spans="1:3" ht="21.25" customHeight="1" x14ac:dyDescent="0.2">
      <c r="A18" s="3" t="s">
        <v>22</v>
      </c>
      <c r="B18" s="12" t="s">
        <v>15</v>
      </c>
      <c r="C18" s="12"/>
    </row>
    <row r="19" spans="1:3" x14ac:dyDescent="0.2">
      <c r="A19" s="12"/>
      <c r="B19" s="12"/>
      <c r="C19" s="12"/>
    </row>
    <row r="20" spans="1:3" ht="21.25" customHeight="1" x14ac:dyDescent="0.2">
      <c r="A20" s="3" t="s">
        <v>23</v>
      </c>
      <c r="B20" s="12" t="s">
        <v>15</v>
      </c>
      <c r="C20" s="12"/>
    </row>
    <row r="21" spans="1:3" x14ac:dyDescent="0.2">
      <c r="A21" s="12"/>
      <c r="B21" s="12"/>
      <c r="C21" s="12"/>
    </row>
    <row r="22" spans="1:3" ht="21.25" customHeight="1" x14ac:dyDescent="0.2">
      <c r="A22" s="3" t="s">
        <v>24</v>
      </c>
      <c r="B22" s="12" t="s">
        <v>15</v>
      </c>
      <c r="C22" s="12"/>
    </row>
    <row r="23" spans="1:3" x14ac:dyDescent="0.2">
      <c r="A23" s="12"/>
      <c r="B23" s="12"/>
      <c r="C23" s="12"/>
    </row>
    <row r="24" spans="1:3" ht="21.25" customHeight="1" x14ac:dyDescent="0.2">
      <c r="A24" s="3" t="s">
        <v>25</v>
      </c>
      <c r="B24" s="12" t="s">
        <v>3</v>
      </c>
      <c r="C24" s="12"/>
    </row>
    <row r="25" spans="1:3" ht="21.25" customHeight="1" x14ac:dyDescent="0.2">
      <c r="A25" s="1" t="s">
        <v>26</v>
      </c>
      <c r="B25" s="12" t="s">
        <v>15</v>
      </c>
      <c r="C25" s="12"/>
    </row>
    <row r="26" spans="1:3" ht="21.25" customHeight="1" x14ac:dyDescent="0.2">
      <c r="A26" s="1" t="s">
        <v>27</v>
      </c>
      <c r="B26" s="12" t="s">
        <v>28</v>
      </c>
      <c r="C26" s="12"/>
    </row>
    <row r="27" spans="1:3" ht="21.25" customHeight="1" x14ac:dyDescent="0.2">
      <c r="A27" s="1" t="s">
        <v>29</v>
      </c>
      <c r="B27" s="12" t="s">
        <v>15</v>
      </c>
      <c r="C27" s="12"/>
    </row>
    <row r="28" spans="1:3" ht="21.25" customHeight="1" x14ac:dyDescent="0.2">
      <c r="A28" s="1" t="s">
        <v>30</v>
      </c>
      <c r="B28" s="12" t="s">
        <v>15</v>
      </c>
      <c r="C28" s="12"/>
    </row>
    <row r="29" spans="1:3" x14ac:dyDescent="0.2">
      <c r="A29" s="12"/>
      <c r="B29" s="12"/>
      <c r="C29" s="12"/>
    </row>
    <row r="30" spans="1:3" ht="21.25" customHeight="1" x14ac:dyDescent="0.2">
      <c r="A30" s="3" t="s">
        <v>31</v>
      </c>
      <c r="B30" s="12" t="s">
        <v>32</v>
      </c>
      <c r="C30" s="12"/>
    </row>
    <row r="31" spans="1:3" x14ac:dyDescent="0.2">
      <c r="A31" s="12"/>
      <c r="B31" s="12"/>
      <c r="C31" s="12"/>
    </row>
    <row r="32" spans="1:3" ht="21.25" customHeight="1" x14ac:dyDescent="0.2">
      <c r="A32" s="3" t="s">
        <v>33</v>
      </c>
      <c r="B32" s="12" t="s">
        <v>3</v>
      </c>
      <c r="C32" s="12"/>
    </row>
    <row r="33" spans="1:3" ht="21.25" customHeight="1" x14ac:dyDescent="0.2">
      <c r="A33" s="1" t="s">
        <v>34</v>
      </c>
      <c r="B33" s="12" t="s">
        <v>3</v>
      </c>
      <c r="C33" s="12"/>
    </row>
    <row r="34" spans="1:3" ht="21.25" customHeight="1" x14ac:dyDescent="0.2">
      <c r="A34" s="1" t="s">
        <v>35</v>
      </c>
      <c r="B34" s="12" t="s">
        <v>0</v>
      </c>
      <c r="C34" s="12"/>
    </row>
    <row r="35" spans="1:3" ht="21.25" customHeight="1" x14ac:dyDescent="0.2">
      <c r="A35" s="1" t="s">
        <v>36</v>
      </c>
      <c r="B35" s="12" t="s">
        <v>37</v>
      </c>
      <c r="C35" s="12"/>
    </row>
    <row r="36" spans="1:3" ht="21.25" customHeight="1" x14ac:dyDescent="0.2">
      <c r="A36" s="1" t="s">
        <v>38</v>
      </c>
      <c r="B36" s="12" t="s">
        <v>7</v>
      </c>
      <c r="C36" s="12"/>
    </row>
    <row r="37" spans="1:3" ht="21.25" customHeight="1" x14ac:dyDescent="0.2">
      <c r="A37" s="1" t="s">
        <v>39</v>
      </c>
      <c r="B37" s="12" t="s">
        <v>9</v>
      </c>
      <c r="C37" s="12"/>
    </row>
    <row r="38" spans="1:3" ht="21.25" customHeight="1" x14ac:dyDescent="0.2">
      <c r="A38" s="1" t="s">
        <v>40</v>
      </c>
      <c r="B38" s="12" t="s">
        <v>13</v>
      </c>
      <c r="C38" s="12"/>
    </row>
    <row r="39" spans="1:3" ht="42.75" customHeight="1" x14ac:dyDescent="0.2">
      <c r="A39" s="1" t="s">
        <v>41</v>
      </c>
      <c r="B39" s="12" t="s">
        <v>42</v>
      </c>
      <c r="C39" s="12"/>
    </row>
    <row r="40" spans="1:3" ht="64" customHeight="1" x14ac:dyDescent="0.2">
      <c r="A40" s="1" t="s">
        <v>43</v>
      </c>
      <c r="B40" s="12" t="s">
        <v>44</v>
      </c>
      <c r="C40" s="12"/>
    </row>
    <row r="41" spans="1:3" ht="21.25" customHeight="1" x14ac:dyDescent="0.2">
      <c r="A41" s="1" t="s">
        <v>45</v>
      </c>
      <c r="B41" s="12" t="s">
        <v>3</v>
      </c>
      <c r="C41" s="12"/>
    </row>
    <row r="42" spans="1:3" ht="64" customHeight="1" x14ac:dyDescent="0.2">
      <c r="A42" s="1" t="s">
        <v>46</v>
      </c>
      <c r="B42" s="12" t="s">
        <v>47</v>
      </c>
      <c r="C42" s="12"/>
    </row>
    <row r="43" spans="1:3" ht="128" customHeight="1" x14ac:dyDescent="0.2">
      <c r="A43" s="1" t="s">
        <v>48</v>
      </c>
      <c r="B43" s="12" t="s">
        <v>49</v>
      </c>
      <c r="C43" s="12"/>
    </row>
    <row r="44" spans="1:3" ht="85.25" customHeight="1" x14ac:dyDescent="0.2">
      <c r="A44" s="1" t="s">
        <v>50</v>
      </c>
      <c r="B44" s="12" t="s">
        <v>51</v>
      </c>
      <c r="C44" s="12"/>
    </row>
    <row r="45" spans="1:3" ht="85.25" customHeight="1" x14ac:dyDescent="0.2">
      <c r="A45" s="1" t="s">
        <v>52</v>
      </c>
      <c r="B45" s="12" t="s">
        <v>53</v>
      </c>
      <c r="C45" s="12"/>
    </row>
    <row r="46" spans="1:3" ht="409.6" customHeight="1" x14ac:dyDescent="0.2">
      <c r="A46" s="1" t="s">
        <v>54</v>
      </c>
      <c r="B46" s="12" t="s">
        <v>55</v>
      </c>
      <c r="C46" s="12"/>
    </row>
    <row r="47" spans="1:3" ht="277.25" customHeight="1" x14ac:dyDescent="0.2">
      <c r="A47" s="1" t="s">
        <v>56</v>
      </c>
      <c r="B47" s="12" t="s">
        <v>57</v>
      </c>
      <c r="C47" s="12"/>
    </row>
    <row r="48" spans="1:3" ht="21.25" customHeight="1" x14ac:dyDescent="0.2">
      <c r="A48" s="1" t="s">
        <v>58</v>
      </c>
      <c r="B48" s="12" t="s">
        <v>3</v>
      </c>
      <c r="C48" s="12"/>
    </row>
    <row r="49" spans="1:3" ht="42.75" customHeight="1" x14ac:dyDescent="0.2">
      <c r="A49" s="1" t="s">
        <v>59</v>
      </c>
      <c r="B49" s="12" t="s">
        <v>60</v>
      </c>
      <c r="C49" s="12"/>
    </row>
    <row r="50" spans="1:3" ht="256" customHeight="1" x14ac:dyDescent="0.2">
      <c r="A50" s="1" t="s">
        <v>61</v>
      </c>
      <c r="B50" s="12" t="s">
        <v>62</v>
      </c>
      <c r="C50" s="12"/>
    </row>
    <row r="51" spans="1:3" ht="409.6" customHeight="1" x14ac:dyDescent="0.2">
      <c r="A51" s="1" t="s">
        <v>63</v>
      </c>
      <c r="B51" s="12" t="s">
        <v>64</v>
      </c>
      <c r="C51" s="12"/>
    </row>
    <row r="52" spans="1:3" ht="201.25" customHeight="1" x14ac:dyDescent="0.2">
      <c r="B52" s="12"/>
      <c r="C52" s="12"/>
    </row>
    <row r="53" spans="1:3" ht="21.25" customHeight="1" x14ac:dyDescent="0.2">
      <c r="A53" s="1" t="s">
        <v>65</v>
      </c>
      <c r="B53" s="12" t="s">
        <v>3</v>
      </c>
      <c r="C53" s="12"/>
    </row>
    <row r="54" spans="1:3" ht="42.75" customHeight="1" x14ac:dyDescent="0.2">
      <c r="A54" s="1" t="s">
        <v>66</v>
      </c>
      <c r="B54" s="12" t="s">
        <v>67</v>
      </c>
      <c r="C54" s="12"/>
    </row>
    <row r="55" spans="1:3" ht="64" customHeight="1" x14ac:dyDescent="0.2">
      <c r="A55" s="1" t="s">
        <v>68</v>
      </c>
      <c r="B55" s="12" t="s">
        <v>69</v>
      </c>
      <c r="C55" s="12"/>
    </row>
    <row r="56" spans="1:3" x14ac:dyDescent="0.2">
      <c r="A56" s="12"/>
      <c r="B56" s="12"/>
      <c r="C56" s="12"/>
    </row>
    <row r="57" spans="1:3" ht="21.25" customHeight="1" x14ac:dyDescent="0.2">
      <c r="A57" s="3" t="s">
        <v>70</v>
      </c>
      <c r="B57" s="12" t="s">
        <v>15</v>
      </c>
      <c r="C57" s="12"/>
    </row>
    <row r="58" spans="1:3" x14ac:dyDescent="0.2">
      <c r="A58" s="12"/>
      <c r="B58" s="12"/>
      <c r="C58" s="12"/>
    </row>
  </sheetData>
  <mergeCells count="57">
    <mergeCell ref="B57:C57"/>
    <mergeCell ref="A58:C58"/>
    <mergeCell ref="B51:C52"/>
    <mergeCell ref="B53:C53"/>
    <mergeCell ref="B54:C54"/>
    <mergeCell ref="B55:C55"/>
    <mergeCell ref="A56:C56"/>
    <mergeCell ref="B46:C46"/>
    <mergeCell ref="B47:C47"/>
    <mergeCell ref="B48:C48"/>
    <mergeCell ref="B49:C49"/>
    <mergeCell ref="B50:C50"/>
    <mergeCell ref="B41:C41"/>
    <mergeCell ref="B42:C42"/>
    <mergeCell ref="B43:C43"/>
    <mergeCell ref="B44:C44"/>
    <mergeCell ref="B45:C45"/>
    <mergeCell ref="B36:C36"/>
    <mergeCell ref="B37:C37"/>
    <mergeCell ref="B38:C38"/>
    <mergeCell ref="B39:C39"/>
    <mergeCell ref="B40:C40"/>
    <mergeCell ref="A31:C31"/>
    <mergeCell ref="B32:C32"/>
    <mergeCell ref="B33:C33"/>
    <mergeCell ref="B34:C34"/>
    <mergeCell ref="B35:C35"/>
    <mergeCell ref="B26:C26"/>
    <mergeCell ref="B27:C27"/>
    <mergeCell ref="B28:C28"/>
    <mergeCell ref="A29:C29"/>
    <mergeCell ref="B30:C30"/>
    <mergeCell ref="A21:C21"/>
    <mergeCell ref="B22:C22"/>
    <mergeCell ref="A23:C23"/>
    <mergeCell ref="B24:C24"/>
    <mergeCell ref="B25:C25"/>
    <mergeCell ref="B16:C16"/>
    <mergeCell ref="A17:C17"/>
    <mergeCell ref="B18:C18"/>
    <mergeCell ref="A19:C19"/>
    <mergeCell ref="B20:C20"/>
    <mergeCell ref="B11:C11"/>
    <mergeCell ref="B12:C12"/>
    <mergeCell ref="B13:C13"/>
    <mergeCell ref="B14:C14"/>
    <mergeCell ref="A15:C15"/>
    <mergeCell ref="B6:C6"/>
    <mergeCell ref="B7:C7"/>
    <mergeCell ref="B8:C8"/>
    <mergeCell ref="B9:C9"/>
    <mergeCell ref="B10:C10"/>
    <mergeCell ref="A1:B1"/>
    <mergeCell ref="A2:C2"/>
    <mergeCell ref="A3:C3"/>
    <mergeCell ref="A4:C4"/>
    <mergeCell ref="B5:C5"/>
  </mergeCells>
  <printOptions gridLines="1"/>
  <pageMargins left="0.7" right="0.7" top="0.75" bottom="0.75" header="0.3" footer="0.3"/>
  <pageSetup fitToHeight="0" orientation="landscape"/>
  <headerFooter>
    <oddHeader>&amp;LTable: ACSDP1Y2024.DP02</oddHeader>
    <oddFooter>&amp;L&amp;Bdata.census.gov&amp;B | Measuring America's People, Places, and Economy &amp;R&amp;P</oddFooter>
    <evenHeader>&amp;LTable: ACSDP1Y2024.DP02</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74"/>
  <sheetViews>
    <sheetView tabSelected="1" zoomScale="120" zoomScaleNormal="120" workbookViewId="0">
      <pane xSplit="1" ySplit="2" topLeftCell="F39" activePane="bottomRight" state="frozen"/>
      <selection pane="topRight"/>
      <selection pane="bottomLeft"/>
      <selection pane="bottomRight" activeCell="Q52" sqref="Q52"/>
    </sheetView>
  </sheetViews>
  <sheetFormatPr baseColWidth="10" defaultColWidth="8.83203125" defaultRowHeight="15" x14ac:dyDescent="0.2"/>
  <cols>
    <col min="1" max="1" width="30" style="4" customWidth="1"/>
    <col min="2" max="5" width="20" style="4" customWidth="1"/>
    <col min="9" max="9" width="21" customWidth="1"/>
    <col min="10" max="10" width="19.33203125" customWidth="1"/>
    <col min="11" max="11" width="10.1640625" bestFit="1" customWidth="1"/>
    <col min="12" max="12" width="11.1640625" style="25" customWidth="1"/>
    <col min="13" max="13" width="12.6640625" bestFit="1" customWidth="1"/>
    <col min="14" max="14" width="8" customWidth="1"/>
    <col min="16" max="16" width="25.5" customWidth="1"/>
    <col min="17" max="17" width="11.6640625" customWidth="1"/>
    <col min="18" max="18" width="10.5" customWidth="1"/>
    <col min="19" max="19" width="11.6640625" customWidth="1"/>
    <col min="20" max="20" width="10.5" customWidth="1"/>
  </cols>
  <sheetData>
    <row r="1" spans="1:24" ht="30" customHeight="1" x14ac:dyDescent="0.2">
      <c r="A1" s="5" t="s">
        <v>3</v>
      </c>
      <c r="B1" s="14" t="s">
        <v>71</v>
      </c>
      <c r="C1" s="14"/>
      <c r="D1" s="14"/>
      <c r="E1" s="14"/>
    </row>
    <row r="2" spans="1:24" ht="30" customHeight="1" x14ac:dyDescent="0.2">
      <c r="A2" s="5" t="s">
        <v>72</v>
      </c>
      <c r="B2" s="5" t="s">
        <v>73</v>
      </c>
      <c r="C2" s="5" t="s">
        <v>74</v>
      </c>
      <c r="D2" s="5" t="s">
        <v>75</v>
      </c>
      <c r="E2" s="5" t="s">
        <v>76</v>
      </c>
    </row>
    <row r="3" spans="1:24" ht="16" x14ac:dyDescent="0.2">
      <c r="A3" s="4" t="s">
        <v>77</v>
      </c>
      <c r="I3" s="6" t="s">
        <v>78</v>
      </c>
      <c r="J3" s="4">
        <v>132737146</v>
      </c>
      <c r="K3" s="23">
        <v>2024</v>
      </c>
      <c r="L3" s="23"/>
      <c r="M3" s="23">
        <v>2010</v>
      </c>
      <c r="N3" s="23"/>
      <c r="P3" t="s">
        <v>78</v>
      </c>
      <c r="Q3">
        <v>1</v>
      </c>
    </row>
    <row r="4" spans="1:24" ht="16" x14ac:dyDescent="0.2">
      <c r="A4" s="6" t="s">
        <v>78</v>
      </c>
      <c r="B4" s="4">
        <v>132737146</v>
      </c>
      <c r="C4" s="4" t="s">
        <v>325</v>
      </c>
      <c r="D4" s="4">
        <v>132737146</v>
      </c>
      <c r="E4" s="4" t="s">
        <v>79</v>
      </c>
      <c r="I4" t="s">
        <v>478</v>
      </c>
      <c r="J4" s="4">
        <v>22999943</v>
      </c>
      <c r="K4" s="22">
        <v>0.17327435230526955</v>
      </c>
      <c r="L4" s="24">
        <f>SUM(K4:K5)</f>
        <v>0.46693850114872892</v>
      </c>
      <c r="M4" s="22">
        <v>0.21059619421535047</v>
      </c>
      <c r="N4" s="24">
        <f>SUM(M4:M5)</f>
        <v>0.49595061087400155</v>
      </c>
      <c r="P4" t="s">
        <v>483</v>
      </c>
      <c r="Q4" s="22">
        <v>0.17327435230526955</v>
      </c>
      <c r="T4" s="26"/>
      <c r="U4" s="31">
        <v>2024</v>
      </c>
      <c r="V4" s="32"/>
      <c r="W4" s="31">
        <v>2010</v>
      </c>
      <c r="X4" s="32"/>
    </row>
    <row r="5" spans="1:24" ht="16" x14ac:dyDescent="0.2">
      <c r="A5" s="7" t="s">
        <v>80</v>
      </c>
      <c r="B5" s="4">
        <v>61980084</v>
      </c>
      <c r="C5" s="4" t="s">
        <v>326</v>
      </c>
      <c r="D5" s="4" t="s">
        <v>81</v>
      </c>
      <c r="E5" s="4" t="s">
        <v>82</v>
      </c>
      <c r="I5" t="s">
        <v>481</v>
      </c>
      <c r="J5">
        <f>J13-J4</f>
        <v>38980141</v>
      </c>
      <c r="K5" s="22">
        <v>0.29366414884345937</v>
      </c>
      <c r="L5" s="24"/>
      <c r="M5" s="22">
        <v>0.28535441665865108</v>
      </c>
      <c r="N5" s="24"/>
      <c r="P5" t="s">
        <v>484</v>
      </c>
      <c r="Q5" s="22">
        <v>0.29366414884345937</v>
      </c>
      <c r="T5" s="33" t="s">
        <v>478</v>
      </c>
      <c r="U5" s="27">
        <v>0.17327435230526955</v>
      </c>
      <c r="V5" s="28">
        <f>SUM(U5:U6)</f>
        <v>0.46693850114872892</v>
      </c>
      <c r="W5" s="27">
        <v>0.21059619421535047</v>
      </c>
      <c r="X5" s="28">
        <f>SUM(W5:W6)</f>
        <v>0.49595061087400155</v>
      </c>
    </row>
    <row r="6" spans="1:24" ht="16" x14ac:dyDescent="0.2">
      <c r="A6" s="25" t="s">
        <v>83</v>
      </c>
      <c r="B6" s="4">
        <v>22999943</v>
      </c>
      <c r="C6" s="4" t="s">
        <v>327</v>
      </c>
      <c r="D6" s="4" t="s">
        <v>84</v>
      </c>
      <c r="E6" s="4" t="s">
        <v>82</v>
      </c>
      <c r="I6" s="20" t="s">
        <v>480</v>
      </c>
      <c r="J6">
        <f>SUM(J18,J20,J24)</f>
        <v>10702109</v>
      </c>
      <c r="K6" s="22">
        <v>8.0626330477227531E-2</v>
      </c>
      <c r="L6" s="24">
        <f>SUM(K6:K7)</f>
        <v>0.53306149885127108</v>
      </c>
      <c r="M6" s="22">
        <v>9.5699686463100481E-2</v>
      </c>
      <c r="N6" s="24">
        <f>SUM(M6:M7)</f>
        <v>0.50404938912599839</v>
      </c>
      <c r="P6" t="s">
        <v>485</v>
      </c>
      <c r="Q6" s="22">
        <v>8.0626330477227531E-2</v>
      </c>
      <c r="T6" s="34" t="s">
        <v>481</v>
      </c>
      <c r="U6" s="27">
        <v>0.29366414884345937</v>
      </c>
      <c r="V6" s="28"/>
      <c r="W6" s="27">
        <v>0.28535441665865108</v>
      </c>
      <c r="X6" s="28"/>
    </row>
    <row r="7" spans="1:24" ht="16" x14ac:dyDescent="0.2">
      <c r="A7" s="7" t="s">
        <v>85</v>
      </c>
      <c r="B7" s="4">
        <v>9593464</v>
      </c>
      <c r="C7" s="4" t="s">
        <v>328</v>
      </c>
      <c r="D7" s="4" t="s">
        <v>86</v>
      </c>
      <c r="E7" s="4" t="s">
        <v>82</v>
      </c>
      <c r="I7" t="s">
        <v>482</v>
      </c>
      <c r="J7">
        <f>J14-J6</f>
        <v>60054953</v>
      </c>
      <c r="K7" s="22">
        <v>0.45243516837404352</v>
      </c>
      <c r="L7" s="24"/>
      <c r="M7" s="22">
        <v>0.40834970266289794</v>
      </c>
      <c r="N7" s="24"/>
      <c r="P7" t="s">
        <v>486</v>
      </c>
      <c r="Q7" s="22">
        <v>0.45243516837404352</v>
      </c>
      <c r="T7" s="35" t="s">
        <v>480</v>
      </c>
      <c r="U7" s="27">
        <v>8.0626330477227531E-2</v>
      </c>
      <c r="V7" s="28">
        <f>SUM(U7:U8)</f>
        <v>0.53306149885127108</v>
      </c>
      <c r="W7" s="27">
        <v>9.5699686463100481E-2</v>
      </c>
      <c r="X7" s="28">
        <f>SUM(W7:W8)</f>
        <v>0.50404938912599839</v>
      </c>
    </row>
    <row r="8" spans="1:24" ht="16" x14ac:dyDescent="0.2">
      <c r="A8" s="25" t="s">
        <v>83</v>
      </c>
      <c r="B8" s="4">
        <v>2949936</v>
      </c>
      <c r="C8" s="4" t="s">
        <v>329</v>
      </c>
      <c r="D8" s="4" t="s">
        <v>87</v>
      </c>
      <c r="E8" s="4" t="s">
        <v>82</v>
      </c>
      <c r="T8" s="36" t="s">
        <v>482</v>
      </c>
      <c r="U8" s="29">
        <v>0.45243516837404352</v>
      </c>
      <c r="V8" s="30"/>
      <c r="W8" s="29">
        <v>0.40834970266289794</v>
      </c>
      <c r="X8" s="30"/>
    </row>
    <row r="9" spans="1:24" ht="32" x14ac:dyDescent="0.2">
      <c r="A9" s="7" t="s">
        <v>330</v>
      </c>
      <c r="B9" s="4">
        <v>24549743</v>
      </c>
      <c r="C9" s="4" t="s">
        <v>331</v>
      </c>
      <c r="D9" s="4" t="s">
        <v>88</v>
      </c>
      <c r="E9" s="4" t="s">
        <v>82</v>
      </c>
    </row>
    <row r="10" spans="1:24" ht="32" x14ac:dyDescent="0.2">
      <c r="A10" s="8" t="s">
        <v>83</v>
      </c>
      <c r="B10" s="4">
        <v>1595145</v>
      </c>
      <c r="C10" s="4" t="s">
        <v>332</v>
      </c>
      <c r="D10" s="4" t="s">
        <v>89</v>
      </c>
      <c r="E10" s="4" t="s">
        <v>82</v>
      </c>
    </row>
    <row r="11" spans="1:24" ht="16" x14ac:dyDescent="0.2">
      <c r="A11" s="8" t="s">
        <v>90</v>
      </c>
      <c r="B11" s="4">
        <v>17366116</v>
      </c>
      <c r="C11" s="4" t="s">
        <v>333</v>
      </c>
      <c r="D11" s="4" t="s">
        <v>91</v>
      </c>
      <c r="E11" s="4" t="s">
        <v>82</v>
      </c>
    </row>
    <row r="12" spans="1:24" ht="16" x14ac:dyDescent="0.2">
      <c r="A12" s="9" t="s">
        <v>92</v>
      </c>
      <c r="B12" s="4">
        <v>5401891</v>
      </c>
      <c r="C12" s="4" t="s">
        <v>334</v>
      </c>
      <c r="D12" s="4" t="s">
        <v>93</v>
      </c>
      <c r="E12" s="4" t="s">
        <v>82</v>
      </c>
    </row>
    <row r="13" spans="1:24" ht="32" x14ac:dyDescent="0.2">
      <c r="A13" s="7" t="s">
        <v>335</v>
      </c>
      <c r="B13" s="4">
        <v>36613855</v>
      </c>
      <c r="C13" s="4" t="s">
        <v>336</v>
      </c>
      <c r="D13" s="4" t="s">
        <v>94</v>
      </c>
      <c r="E13" s="4" t="s">
        <v>82</v>
      </c>
      <c r="I13" t="s">
        <v>477</v>
      </c>
      <c r="J13" s="4">
        <v>61980084</v>
      </c>
    </row>
    <row r="14" spans="1:24" ht="32" x14ac:dyDescent="0.2">
      <c r="A14" s="8" t="s">
        <v>83</v>
      </c>
      <c r="B14" s="4">
        <v>6157028</v>
      </c>
      <c r="C14" s="4" t="s">
        <v>337</v>
      </c>
      <c r="D14" s="4" t="s">
        <v>95</v>
      </c>
      <c r="E14" s="4" t="s">
        <v>82</v>
      </c>
      <c r="I14" s="15" t="s">
        <v>479</v>
      </c>
      <c r="J14">
        <f>SUM(J17,J19,J23)</f>
        <v>70757062</v>
      </c>
    </row>
    <row r="15" spans="1:24" ht="16" x14ac:dyDescent="0.2">
      <c r="A15" s="8" t="s">
        <v>90</v>
      </c>
      <c r="B15" s="4">
        <v>20949247</v>
      </c>
      <c r="C15" s="4" t="s">
        <v>338</v>
      </c>
      <c r="D15" s="4" t="s">
        <v>96</v>
      </c>
      <c r="E15" s="4" t="s">
        <v>82</v>
      </c>
    </row>
    <row r="16" spans="1:24" ht="16" x14ac:dyDescent="0.2">
      <c r="A16" s="9" t="s">
        <v>92</v>
      </c>
      <c r="B16" s="4">
        <v>10382978</v>
      </c>
      <c r="C16" s="4" t="s">
        <v>339</v>
      </c>
      <c r="D16" s="4" t="s">
        <v>97</v>
      </c>
      <c r="E16" s="4" t="s">
        <v>82</v>
      </c>
    </row>
    <row r="17" spans="1:10" ht="32" x14ac:dyDescent="0.2">
      <c r="A17" s="7" t="s">
        <v>98</v>
      </c>
      <c r="B17" s="4">
        <v>37838585</v>
      </c>
      <c r="C17" s="4" t="s">
        <v>340</v>
      </c>
      <c r="D17" s="4" t="s">
        <v>99</v>
      </c>
      <c r="E17" s="4" t="s">
        <v>82</v>
      </c>
      <c r="I17" s="16" t="s">
        <v>85</v>
      </c>
      <c r="J17" s="17">
        <v>9593464</v>
      </c>
    </row>
    <row r="18" spans="1:10" ht="48" x14ac:dyDescent="0.2">
      <c r="A18" s="7" t="s">
        <v>100</v>
      </c>
      <c r="B18" s="4">
        <v>43574073</v>
      </c>
      <c r="C18" s="4" t="s">
        <v>341</v>
      </c>
      <c r="D18" s="4" t="s">
        <v>101</v>
      </c>
      <c r="E18" s="4" t="s">
        <v>82</v>
      </c>
      <c r="I18" s="18" t="s">
        <v>83</v>
      </c>
      <c r="J18" s="19">
        <v>2949936</v>
      </c>
    </row>
    <row r="19" spans="1:10" ht="32" x14ac:dyDescent="0.2">
      <c r="A19" s="7" t="s">
        <v>102</v>
      </c>
      <c r="B19" s="4" t="s">
        <v>103</v>
      </c>
      <c r="C19" s="4" t="s">
        <v>104</v>
      </c>
      <c r="D19" s="4" t="s">
        <v>79</v>
      </c>
      <c r="E19" s="4" t="s">
        <v>79</v>
      </c>
      <c r="I19" s="16" t="s">
        <v>330</v>
      </c>
      <c r="J19" s="17">
        <v>24549743</v>
      </c>
    </row>
    <row r="20" spans="1:10" ht="48" x14ac:dyDescent="0.2">
      <c r="A20" s="7" t="s">
        <v>105</v>
      </c>
      <c r="B20" s="4" t="s">
        <v>106</v>
      </c>
      <c r="C20" s="4" t="s">
        <v>104</v>
      </c>
      <c r="D20" s="4" t="s">
        <v>79</v>
      </c>
      <c r="E20" s="4" t="s">
        <v>79</v>
      </c>
      <c r="I20" s="18" t="s">
        <v>83</v>
      </c>
      <c r="J20" s="19">
        <v>1595145</v>
      </c>
    </row>
    <row r="21" spans="1:10" ht="32" x14ac:dyDescent="0.2">
      <c r="A21" s="4" t="s">
        <v>107</v>
      </c>
      <c r="I21" s="8" t="s">
        <v>90</v>
      </c>
      <c r="J21" s="4">
        <v>17366116</v>
      </c>
    </row>
    <row r="22" spans="1:10" ht="16" x14ac:dyDescent="0.2">
      <c r="A22" s="6" t="s">
        <v>108</v>
      </c>
      <c r="B22" s="4">
        <v>331722429</v>
      </c>
      <c r="C22" s="4" t="s">
        <v>109</v>
      </c>
      <c r="D22" s="4">
        <v>331722429</v>
      </c>
      <c r="E22" s="4" t="s">
        <v>79</v>
      </c>
      <c r="I22" s="9" t="s">
        <v>92</v>
      </c>
      <c r="J22" s="4">
        <v>5401891</v>
      </c>
    </row>
    <row r="23" spans="1:10" ht="32" x14ac:dyDescent="0.2">
      <c r="A23" s="7" t="s">
        <v>110</v>
      </c>
      <c r="B23" s="4">
        <v>132737146</v>
      </c>
      <c r="C23" s="4" t="s">
        <v>325</v>
      </c>
      <c r="D23" s="4" t="s">
        <v>111</v>
      </c>
      <c r="E23" s="4" t="s">
        <v>82</v>
      </c>
      <c r="I23" s="16" t="s">
        <v>335</v>
      </c>
      <c r="J23" s="17">
        <v>36613855</v>
      </c>
    </row>
    <row r="24" spans="1:10" ht="48" x14ac:dyDescent="0.2">
      <c r="A24" s="7" t="s">
        <v>112</v>
      </c>
      <c r="B24" s="4">
        <v>61883716</v>
      </c>
      <c r="C24" s="4" t="s">
        <v>342</v>
      </c>
      <c r="D24" s="4" t="s">
        <v>113</v>
      </c>
      <c r="E24" s="4" t="s">
        <v>82</v>
      </c>
      <c r="I24" s="18" t="s">
        <v>83</v>
      </c>
      <c r="J24" s="19">
        <v>6157028</v>
      </c>
    </row>
    <row r="25" spans="1:10" ht="32" x14ac:dyDescent="0.2">
      <c r="A25" s="7" t="s">
        <v>114</v>
      </c>
      <c r="B25" s="4">
        <v>9689857</v>
      </c>
      <c r="C25" s="4" t="s">
        <v>343</v>
      </c>
      <c r="D25" s="4" t="s">
        <v>115</v>
      </c>
      <c r="E25" s="4" t="s">
        <v>82</v>
      </c>
      <c r="I25" s="8" t="s">
        <v>90</v>
      </c>
      <c r="J25" s="4">
        <v>20949247</v>
      </c>
    </row>
    <row r="26" spans="1:10" ht="16" x14ac:dyDescent="0.2">
      <c r="A26" s="7" t="s">
        <v>116</v>
      </c>
      <c r="B26" s="4">
        <v>94090379</v>
      </c>
      <c r="C26" s="4" t="s">
        <v>344</v>
      </c>
      <c r="D26" s="4" t="s">
        <v>117</v>
      </c>
      <c r="E26" s="4" t="s">
        <v>82</v>
      </c>
      <c r="I26" s="9" t="s">
        <v>92</v>
      </c>
      <c r="J26" s="4">
        <v>10382978</v>
      </c>
    </row>
    <row r="27" spans="1:10" ht="16" x14ac:dyDescent="0.2">
      <c r="A27" s="7" t="s">
        <v>118</v>
      </c>
      <c r="B27" s="4">
        <v>23245051</v>
      </c>
      <c r="C27" s="4" t="s">
        <v>345</v>
      </c>
      <c r="D27" s="4" t="s">
        <v>119</v>
      </c>
      <c r="E27" s="4" t="s">
        <v>82</v>
      </c>
    </row>
    <row r="28" spans="1:10" ht="16" x14ac:dyDescent="0.2">
      <c r="A28" s="7" t="s">
        <v>120</v>
      </c>
      <c r="B28" s="4">
        <v>10076280</v>
      </c>
      <c r="C28" s="4" t="s">
        <v>346</v>
      </c>
      <c r="D28" s="4" t="s">
        <v>121</v>
      </c>
      <c r="E28" s="4" t="s">
        <v>82</v>
      </c>
    </row>
    <row r="29" spans="1:10" ht="16" x14ac:dyDescent="0.2">
      <c r="A29" s="4" t="s">
        <v>122</v>
      </c>
    </row>
    <row r="30" spans="1:10" ht="16" x14ac:dyDescent="0.2">
      <c r="A30" s="6" t="s">
        <v>123</v>
      </c>
      <c r="B30" s="4">
        <v>137823205</v>
      </c>
      <c r="C30" s="4" t="s">
        <v>347</v>
      </c>
      <c r="D30" s="4">
        <v>137823205</v>
      </c>
      <c r="E30" s="4" t="s">
        <v>79</v>
      </c>
    </row>
    <row r="31" spans="1:10" ht="16" x14ac:dyDescent="0.2">
      <c r="A31" s="7" t="s">
        <v>124</v>
      </c>
      <c r="B31" s="4">
        <v>51851965</v>
      </c>
      <c r="C31" s="4" t="s">
        <v>348</v>
      </c>
      <c r="D31" s="4" t="s">
        <v>125</v>
      </c>
      <c r="E31" s="4" t="s">
        <v>82</v>
      </c>
    </row>
    <row r="32" spans="1:10" ht="16" x14ac:dyDescent="0.2">
      <c r="A32" s="7" t="s">
        <v>349</v>
      </c>
      <c r="B32" s="4">
        <v>68291478</v>
      </c>
      <c r="C32" s="4" t="s">
        <v>350</v>
      </c>
      <c r="D32" s="4" t="s">
        <v>126</v>
      </c>
      <c r="E32" s="4" t="s">
        <v>82</v>
      </c>
    </row>
    <row r="33" spans="1:20" ht="16" x14ac:dyDescent="0.2">
      <c r="A33" s="7" t="s">
        <v>127</v>
      </c>
      <c r="B33" s="4">
        <v>1921232</v>
      </c>
      <c r="C33" s="4" t="s">
        <v>351</v>
      </c>
      <c r="D33" s="4" t="s">
        <v>128</v>
      </c>
      <c r="E33" s="4" t="s">
        <v>82</v>
      </c>
    </row>
    <row r="34" spans="1:20" ht="16" x14ac:dyDescent="0.2">
      <c r="A34" s="7" t="s">
        <v>129</v>
      </c>
      <c r="B34" s="4">
        <v>3605849</v>
      </c>
      <c r="C34" s="4" t="s">
        <v>352</v>
      </c>
      <c r="D34" s="4" t="s">
        <v>130</v>
      </c>
      <c r="E34" s="4" t="s">
        <v>82</v>
      </c>
    </row>
    <row r="35" spans="1:20" ht="16" x14ac:dyDescent="0.2">
      <c r="A35" s="7" t="s">
        <v>131</v>
      </c>
      <c r="B35" s="4">
        <v>12152681</v>
      </c>
      <c r="C35" s="4" t="s">
        <v>353</v>
      </c>
      <c r="D35" s="4" t="s">
        <v>132</v>
      </c>
      <c r="E35" s="4" t="s">
        <v>82</v>
      </c>
    </row>
    <row r="36" spans="1:20" ht="16" x14ac:dyDescent="0.2">
      <c r="A36" s="6" t="s">
        <v>133</v>
      </c>
      <c r="B36" s="4">
        <v>142769633</v>
      </c>
      <c r="C36" s="4" t="s">
        <v>354</v>
      </c>
      <c r="D36" s="4">
        <v>142769633</v>
      </c>
      <c r="E36" s="4" t="s">
        <v>79</v>
      </c>
    </row>
    <row r="37" spans="1:20" ht="16" x14ac:dyDescent="0.2">
      <c r="A37" s="7" t="s">
        <v>124</v>
      </c>
      <c r="B37" s="4">
        <v>45764964</v>
      </c>
      <c r="C37" s="4" t="s">
        <v>355</v>
      </c>
      <c r="D37" s="4" t="s">
        <v>134</v>
      </c>
      <c r="E37" s="4" t="s">
        <v>82</v>
      </c>
    </row>
    <row r="38" spans="1:20" ht="16" x14ac:dyDescent="0.2">
      <c r="A38" s="7" t="s">
        <v>349</v>
      </c>
      <c r="B38" s="4">
        <v>66029187</v>
      </c>
      <c r="C38" s="4" t="s">
        <v>356</v>
      </c>
      <c r="D38" s="4" t="s">
        <v>135</v>
      </c>
      <c r="E38" s="4" t="s">
        <v>82</v>
      </c>
    </row>
    <row r="39" spans="1:20" ht="16" x14ac:dyDescent="0.2">
      <c r="A39" s="7" t="s">
        <v>127</v>
      </c>
      <c r="B39" s="4">
        <v>2553523</v>
      </c>
      <c r="C39" s="4" t="s">
        <v>357</v>
      </c>
      <c r="D39" s="4" t="s">
        <v>136</v>
      </c>
      <c r="E39" s="4" t="s">
        <v>82</v>
      </c>
    </row>
    <row r="40" spans="1:20" ht="16" x14ac:dyDescent="0.2">
      <c r="A40" s="7" t="s">
        <v>129</v>
      </c>
      <c r="B40" s="4">
        <v>11675211</v>
      </c>
      <c r="C40" s="4" t="s">
        <v>358</v>
      </c>
      <c r="D40" s="4" t="s">
        <v>137</v>
      </c>
      <c r="E40" s="4" t="s">
        <v>82</v>
      </c>
    </row>
    <row r="41" spans="1:20" ht="16" x14ac:dyDescent="0.2">
      <c r="A41" s="7" t="s">
        <v>131</v>
      </c>
      <c r="B41" s="4">
        <v>16746748</v>
      </c>
      <c r="C41" s="4" t="s">
        <v>359</v>
      </c>
      <c r="D41" s="4" t="s">
        <v>138</v>
      </c>
      <c r="E41" s="4" t="s">
        <v>82</v>
      </c>
    </row>
    <row r="42" spans="1:20" ht="16" x14ac:dyDescent="0.2">
      <c r="A42" s="4" t="s">
        <v>139</v>
      </c>
      <c r="I42" s="4" t="s">
        <v>139</v>
      </c>
      <c r="J42" s="23">
        <v>2010</v>
      </c>
      <c r="K42" s="23"/>
      <c r="L42" s="39">
        <v>2024</v>
      </c>
      <c r="M42" s="39"/>
      <c r="P42" s="45" t="s">
        <v>139</v>
      </c>
      <c r="Q42" s="31">
        <v>2010</v>
      </c>
      <c r="R42" s="32"/>
      <c r="S42" s="31">
        <v>2024</v>
      </c>
      <c r="T42" s="32"/>
    </row>
    <row r="43" spans="1:20" ht="64" x14ac:dyDescent="0.2">
      <c r="A43" s="6" t="s">
        <v>140</v>
      </c>
      <c r="B43" s="4">
        <v>3971434</v>
      </c>
      <c r="C43" s="4" t="s">
        <v>360</v>
      </c>
      <c r="D43" s="4">
        <v>3971434</v>
      </c>
      <c r="E43" s="4" t="s">
        <v>79</v>
      </c>
      <c r="I43" s="4" t="s">
        <v>140</v>
      </c>
      <c r="J43" s="37">
        <v>4308790</v>
      </c>
      <c r="L43" s="37">
        <v>3971434</v>
      </c>
      <c r="P43" s="46" t="s">
        <v>140</v>
      </c>
      <c r="Q43" s="40">
        <v>4308790</v>
      </c>
      <c r="R43" s="41"/>
      <c r="S43" s="40">
        <v>3971434</v>
      </c>
      <c r="T43" s="41"/>
    </row>
    <row r="44" spans="1:20" ht="32" x14ac:dyDescent="0.2">
      <c r="A44" s="7" t="s">
        <v>361</v>
      </c>
      <c r="B44" s="4">
        <v>1195958</v>
      </c>
      <c r="C44" s="4" t="s">
        <v>362</v>
      </c>
      <c r="D44" s="4" t="s">
        <v>141</v>
      </c>
      <c r="E44" s="4" t="s">
        <v>142</v>
      </c>
      <c r="I44" t="s">
        <v>487</v>
      </c>
      <c r="J44" s="38">
        <f>J43-J45</f>
        <v>2844053</v>
      </c>
      <c r="K44" s="21">
        <f>J44/$J$43</f>
        <v>0.66005839226325724</v>
      </c>
      <c r="L44" s="38">
        <f>L43-L45</f>
        <v>2775476</v>
      </c>
      <c r="M44" s="21">
        <f>L44/$L$43</f>
        <v>0.69885990803321929</v>
      </c>
      <c r="P44" s="47" t="s">
        <v>487</v>
      </c>
      <c r="Q44" s="40">
        <v>2844053</v>
      </c>
      <c r="R44" s="42">
        <v>0.66005839226325724</v>
      </c>
      <c r="S44" s="40">
        <v>2775476</v>
      </c>
      <c r="T44" s="42">
        <v>0.69885990803321929</v>
      </c>
    </row>
    <row r="45" spans="1:20" ht="48" x14ac:dyDescent="0.2">
      <c r="A45" s="8" t="s">
        <v>363</v>
      </c>
      <c r="B45" s="4" t="s">
        <v>143</v>
      </c>
      <c r="C45" s="4" t="s">
        <v>144</v>
      </c>
      <c r="D45" s="4" t="s">
        <v>79</v>
      </c>
      <c r="E45" s="4" t="s">
        <v>79</v>
      </c>
      <c r="I45" s="4" t="s">
        <v>361</v>
      </c>
      <c r="J45" s="37">
        <v>1464737</v>
      </c>
      <c r="K45" s="21">
        <f>J45/$J$43</f>
        <v>0.33994160773674281</v>
      </c>
      <c r="L45" s="37">
        <v>1195958</v>
      </c>
      <c r="M45" s="21">
        <f>L45/$L$43</f>
        <v>0.30114009196678077</v>
      </c>
      <c r="P45" s="47" t="s">
        <v>361</v>
      </c>
      <c r="Q45" s="40">
        <v>1464737</v>
      </c>
      <c r="R45" s="42">
        <v>0.33994160773674281</v>
      </c>
      <c r="S45" s="40">
        <v>1195958</v>
      </c>
      <c r="T45" s="42">
        <v>0.30114009196678077</v>
      </c>
    </row>
    <row r="46" spans="1:20" ht="32" x14ac:dyDescent="0.2">
      <c r="A46" s="7" t="s">
        <v>364</v>
      </c>
      <c r="B46" s="4" t="s">
        <v>145</v>
      </c>
      <c r="C46" s="4" t="s">
        <v>144</v>
      </c>
      <c r="D46" s="4" t="s">
        <v>79</v>
      </c>
      <c r="E46" s="4" t="s">
        <v>79</v>
      </c>
      <c r="I46" s="8" t="s">
        <v>363</v>
      </c>
      <c r="J46" s="4" t="s">
        <v>490</v>
      </c>
      <c r="L46" s="4" t="s">
        <v>143</v>
      </c>
      <c r="P46" s="47" t="s">
        <v>363</v>
      </c>
      <c r="Q46" s="40" t="s">
        <v>490</v>
      </c>
      <c r="R46" s="41"/>
      <c r="S46" s="40" t="s">
        <v>143</v>
      </c>
      <c r="T46" s="41"/>
    </row>
    <row r="47" spans="1:20" ht="32" x14ac:dyDescent="0.2">
      <c r="A47" s="7" t="s">
        <v>365</v>
      </c>
      <c r="B47" s="4" t="s">
        <v>146</v>
      </c>
      <c r="C47" s="4" t="s">
        <v>144</v>
      </c>
      <c r="D47" s="4" t="s">
        <v>79</v>
      </c>
      <c r="E47" s="4" t="s">
        <v>79</v>
      </c>
      <c r="I47" s="7" t="s">
        <v>364</v>
      </c>
      <c r="J47" s="4" t="s">
        <v>491</v>
      </c>
      <c r="L47" s="4" t="s">
        <v>145</v>
      </c>
      <c r="P47" s="47" t="s">
        <v>364</v>
      </c>
      <c r="Q47" s="40" t="s">
        <v>491</v>
      </c>
      <c r="R47" s="41"/>
      <c r="S47" s="40" t="s">
        <v>145</v>
      </c>
      <c r="T47" s="41"/>
    </row>
    <row r="48" spans="1:20" ht="32" x14ac:dyDescent="0.2">
      <c r="A48" s="7" t="s">
        <v>366</v>
      </c>
      <c r="B48" s="4" t="s">
        <v>147</v>
      </c>
      <c r="C48" s="4" t="s">
        <v>144</v>
      </c>
      <c r="D48" s="4" t="s">
        <v>79</v>
      </c>
      <c r="E48" s="4" t="s">
        <v>79</v>
      </c>
      <c r="I48" s="7" t="s">
        <v>365</v>
      </c>
      <c r="J48" s="4" t="s">
        <v>492</v>
      </c>
      <c r="L48" s="4" t="s">
        <v>146</v>
      </c>
      <c r="P48" s="47" t="s">
        <v>365</v>
      </c>
      <c r="Q48" s="40" t="s">
        <v>492</v>
      </c>
      <c r="R48" s="41"/>
      <c r="S48" s="40" t="s">
        <v>146</v>
      </c>
      <c r="T48" s="41"/>
    </row>
    <row r="49" spans="1:20" ht="32" x14ac:dyDescent="0.2">
      <c r="A49" s="7" t="s">
        <v>367</v>
      </c>
      <c r="B49" s="4" t="s">
        <v>148</v>
      </c>
      <c r="C49" s="4" t="s">
        <v>144</v>
      </c>
      <c r="D49" s="4" t="s">
        <v>79</v>
      </c>
      <c r="E49" s="4" t="s">
        <v>79</v>
      </c>
      <c r="I49" s="7" t="s">
        <v>366</v>
      </c>
      <c r="J49" s="4" t="s">
        <v>493</v>
      </c>
      <c r="L49" s="4" t="s">
        <v>147</v>
      </c>
      <c r="P49" s="47" t="s">
        <v>366</v>
      </c>
      <c r="Q49" s="40" t="s">
        <v>493</v>
      </c>
      <c r="R49" s="41"/>
      <c r="S49" s="40" t="s">
        <v>147</v>
      </c>
      <c r="T49" s="41"/>
    </row>
    <row r="50" spans="1:20" ht="32" x14ac:dyDescent="0.2">
      <c r="A50" s="4" t="s">
        <v>149</v>
      </c>
      <c r="I50" s="7" t="s">
        <v>367</v>
      </c>
      <c r="J50" s="4" t="s">
        <v>494</v>
      </c>
      <c r="L50" s="4" t="s">
        <v>148</v>
      </c>
      <c r="P50" s="48" t="s">
        <v>367</v>
      </c>
      <c r="Q50" s="43" t="s">
        <v>494</v>
      </c>
      <c r="R50" s="44"/>
      <c r="S50" s="43" t="s">
        <v>148</v>
      </c>
      <c r="T50" s="44"/>
    </row>
    <row r="51" spans="1:20" ht="32" x14ac:dyDescent="0.2">
      <c r="A51" s="6" t="s">
        <v>150</v>
      </c>
      <c r="B51" s="4">
        <v>6557671</v>
      </c>
      <c r="C51" s="4" t="s">
        <v>368</v>
      </c>
      <c r="D51" s="4">
        <v>6557671</v>
      </c>
      <c r="E51" s="4" t="s">
        <v>79</v>
      </c>
    </row>
    <row r="52" spans="1:20" ht="32" x14ac:dyDescent="0.2">
      <c r="A52" s="7" t="s">
        <v>151</v>
      </c>
      <c r="B52" s="4">
        <v>2016003</v>
      </c>
      <c r="C52" s="4" t="s">
        <v>369</v>
      </c>
      <c r="D52" s="4" t="s">
        <v>152</v>
      </c>
      <c r="E52" s="4" t="s">
        <v>153</v>
      </c>
    </row>
    <row r="53" spans="1:20" ht="16" x14ac:dyDescent="0.2">
      <c r="A53" s="7" t="s">
        <v>154</v>
      </c>
    </row>
    <row r="54" spans="1:20" ht="16" x14ac:dyDescent="0.2">
      <c r="A54" s="8" t="s">
        <v>155</v>
      </c>
      <c r="B54" s="4">
        <v>334270</v>
      </c>
      <c r="C54" s="4" t="s">
        <v>370</v>
      </c>
      <c r="D54" s="4" t="s">
        <v>156</v>
      </c>
      <c r="E54" s="4" t="s">
        <v>157</v>
      </c>
    </row>
    <row r="55" spans="1:20" ht="16" x14ac:dyDescent="0.2">
      <c r="A55" s="8" t="s">
        <v>158</v>
      </c>
      <c r="B55" s="4">
        <v>386502</v>
      </c>
      <c r="C55" s="4" t="s">
        <v>371</v>
      </c>
      <c r="D55" s="4" t="s">
        <v>159</v>
      </c>
      <c r="E55" s="4" t="s">
        <v>157</v>
      </c>
    </row>
    <row r="56" spans="1:20" ht="16" x14ac:dyDescent="0.2">
      <c r="A56" s="8" t="s">
        <v>160</v>
      </c>
      <c r="B56" s="4">
        <v>292463</v>
      </c>
      <c r="C56" s="4" t="s">
        <v>372</v>
      </c>
      <c r="D56" s="4" t="s">
        <v>161</v>
      </c>
      <c r="E56" s="4" t="s">
        <v>157</v>
      </c>
    </row>
    <row r="57" spans="1:20" ht="16" x14ac:dyDescent="0.2">
      <c r="A57" s="8" t="s">
        <v>162</v>
      </c>
      <c r="B57" s="4">
        <v>1002768</v>
      </c>
      <c r="C57" s="4" t="s">
        <v>373</v>
      </c>
      <c r="D57" s="4" t="s">
        <v>163</v>
      </c>
      <c r="E57" s="4" t="s">
        <v>164</v>
      </c>
    </row>
    <row r="58" spans="1:20" ht="48" x14ac:dyDescent="0.2">
      <c r="A58" s="6" t="s">
        <v>165</v>
      </c>
      <c r="B58" s="4">
        <v>2016003</v>
      </c>
      <c r="C58" s="4" t="s">
        <v>369</v>
      </c>
      <c r="D58" s="4">
        <v>2016003</v>
      </c>
      <c r="E58" s="4" t="s">
        <v>79</v>
      </c>
    </row>
    <row r="59" spans="1:20" ht="16" x14ac:dyDescent="0.2">
      <c r="A59" s="7" t="s">
        <v>166</v>
      </c>
      <c r="B59" s="4">
        <v>1282660</v>
      </c>
      <c r="C59" s="4" t="s">
        <v>374</v>
      </c>
      <c r="D59" s="4" t="s">
        <v>167</v>
      </c>
      <c r="E59" s="4" t="s">
        <v>142</v>
      </c>
    </row>
    <row r="60" spans="1:20" ht="16" x14ac:dyDescent="0.2">
      <c r="A60" s="7" t="s">
        <v>168</v>
      </c>
      <c r="B60" s="4">
        <v>1333133</v>
      </c>
      <c r="C60" s="4" t="s">
        <v>375</v>
      </c>
      <c r="D60" s="4" t="s">
        <v>169</v>
      </c>
      <c r="E60" s="4" t="s">
        <v>170</v>
      </c>
    </row>
    <row r="61" spans="1:20" ht="16" x14ac:dyDescent="0.2">
      <c r="A61" s="4" t="s">
        <v>171</v>
      </c>
    </row>
    <row r="62" spans="1:20" ht="32" x14ac:dyDescent="0.2">
      <c r="A62" s="6" t="s">
        <v>172</v>
      </c>
      <c r="B62" s="4">
        <v>80972743</v>
      </c>
      <c r="C62" s="4" t="s">
        <v>376</v>
      </c>
      <c r="D62" s="4">
        <v>80972743</v>
      </c>
      <c r="E62" s="4" t="s">
        <v>79</v>
      </c>
    </row>
    <row r="63" spans="1:20" ht="16" x14ac:dyDescent="0.2">
      <c r="A63" s="7" t="s">
        <v>377</v>
      </c>
      <c r="B63" s="4">
        <v>4733955</v>
      </c>
      <c r="C63" s="4" t="s">
        <v>378</v>
      </c>
      <c r="D63" s="4" t="s">
        <v>173</v>
      </c>
      <c r="E63" s="4" t="s">
        <v>82</v>
      </c>
    </row>
    <row r="64" spans="1:20" ht="16" x14ac:dyDescent="0.2">
      <c r="A64" s="7" t="s">
        <v>174</v>
      </c>
      <c r="B64" s="4">
        <v>4018261</v>
      </c>
      <c r="C64" s="4" t="s">
        <v>379</v>
      </c>
      <c r="D64" s="4" t="s">
        <v>175</v>
      </c>
      <c r="E64" s="4" t="s">
        <v>82</v>
      </c>
    </row>
    <row r="65" spans="1:11" ht="16" x14ac:dyDescent="0.2">
      <c r="A65" s="7" t="s">
        <v>176</v>
      </c>
      <c r="B65" s="4">
        <v>32711545</v>
      </c>
      <c r="C65" s="4" t="s">
        <v>380</v>
      </c>
      <c r="D65" s="4" t="s">
        <v>177</v>
      </c>
      <c r="E65" s="4" t="s">
        <v>82</v>
      </c>
    </row>
    <row r="66" spans="1:11" ht="16" x14ac:dyDescent="0.2">
      <c r="A66" s="7" t="s">
        <v>178</v>
      </c>
      <c r="B66" s="4">
        <v>17706127</v>
      </c>
      <c r="C66" s="4" t="s">
        <v>381</v>
      </c>
      <c r="D66" s="4" t="s">
        <v>179</v>
      </c>
      <c r="E66" s="4" t="s">
        <v>82</v>
      </c>
    </row>
    <row r="67" spans="1:11" ht="16" x14ac:dyDescent="0.2">
      <c r="A67" s="7" t="s">
        <v>180</v>
      </c>
      <c r="B67" s="4">
        <v>21802855</v>
      </c>
      <c r="C67" s="4" t="s">
        <v>382</v>
      </c>
      <c r="D67" s="4" t="s">
        <v>181</v>
      </c>
      <c r="E67" s="4" t="s">
        <v>82</v>
      </c>
    </row>
    <row r="68" spans="1:11" ht="16" x14ac:dyDescent="0.2">
      <c r="A68" s="4" t="s">
        <v>182</v>
      </c>
    </row>
    <row r="69" spans="1:11" ht="16" x14ac:dyDescent="0.2">
      <c r="A69" s="6" t="s">
        <v>183</v>
      </c>
      <c r="B69" s="4">
        <v>235910719</v>
      </c>
      <c r="C69" s="4" t="s">
        <v>383</v>
      </c>
      <c r="D69" s="4">
        <v>235910719</v>
      </c>
      <c r="E69" s="4" t="s">
        <v>79</v>
      </c>
      <c r="I69" t="s">
        <v>488</v>
      </c>
      <c r="J69" s="4">
        <v>235910719</v>
      </c>
      <c r="K69">
        <f>J69/$J$69</f>
        <v>1</v>
      </c>
    </row>
    <row r="70" spans="1:11" ht="16" x14ac:dyDescent="0.2">
      <c r="A70" s="7" t="s">
        <v>184</v>
      </c>
      <c r="B70" s="4">
        <v>10908872</v>
      </c>
      <c r="C70" s="4" t="s">
        <v>384</v>
      </c>
      <c r="D70" s="4" t="s">
        <v>95</v>
      </c>
      <c r="E70" s="4" t="s">
        <v>82</v>
      </c>
      <c r="I70" s="7" t="s">
        <v>189</v>
      </c>
      <c r="J70" s="4">
        <v>52233014</v>
      </c>
      <c r="K70">
        <f t="shared" ref="K70:K72" si="0">J70/$J$69</f>
        <v>0.22141009201027445</v>
      </c>
    </row>
    <row r="71" spans="1:11" ht="32" x14ac:dyDescent="0.2">
      <c r="A71" s="7" t="s">
        <v>385</v>
      </c>
      <c r="B71" s="4">
        <v>12868166</v>
      </c>
      <c r="C71" s="4" t="s">
        <v>386</v>
      </c>
      <c r="D71" s="4" t="s">
        <v>185</v>
      </c>
      <c r="E71" s="4" t="s">
        <v>82</v>
      </c>
      <c r="I71" s="7" t="s">
        <v>191</v>
      </c>
      <c r="J71" s="4">
        <v>34699683</v>
      </c>
      <c r="K71">
        <f t="shared" si="0"/>
        <v>0.14708819992193742</v>
      </c>
    </row>
    <row r="72" spans="1:11" ht="32" x14ac:dyDescent="0.2">
      <c r="A72" s="7" t="s">
        <v>186</v>
      </c>
      <c r="B72" s="4">
        <v>60698932</v>
      </c>
      <c r="C72" s="4" t="s">
        <v>387</v>
      </c>
      <c r="D72" s="4" t="s">
        <v>187</v>
      </c>
      <c r="E72" s="4" t="s">
        <v>82</v>
      </c>
      <c r="I72" t="s">
        <v>489</v>
      </c>
      <c r="J72">
        <f>J69-J71-J70</f>
        <v>148978022</v>
      </c>
      <c r="K72">
        <f t="shared" si="0"/>
        <v>0.63150170806778816</v>
      </c>
    </row>
    <row r="73" spans="1:11" ht="16" x14ac:dyDescent="0.2">
      <c r="A73" s="7" t="s">
        <v>388</v>
      </c>
      <c r="B73" s="4">
        <v>43653533</v>
      </c>
      <c r="C73" s="4" t="s">
        <v>389</v>
      </c>
      <c r="D73" s="4" t="s">
        <v>88</v>
      </c>
      <c r="E73" s="4" t="s">
        <v>82</v>
      </c>
    </row>
    <row r="74" spans="1:11" ht="16" x14ac:dyDescent="0.2">
      <c r="A74" s="7" t="s">
        <v>188</v>
      </c>
      <c r="B74" s="4">
        <v>20848519</v>
      </c>
      <c r="C74" s="4" t="s">
        <v>390</v>
      </c>
      <c r="D74" s="4" t="s">
        <v>132</v>
      </c>
      <c r="E74" s="4" t="s">
        <v>82</v>
      </c>
    </row>
    <row r="75" spans="1:11" ht="16" x14ac:dyDescent="0.2">
      <c r="A75" s="7" t="s">
        <v>189</v>
      </c>
      <c r="B75" s="4">
        <v>52233014</v>
      </c>
      <c r="C75" s="4" t="s">
        <v>391</v>
      </c>
      <c r="D75" s="4" t="s">
        <v>190</v>
      </c>
      <c r="E75" s="4" t="s">
        <v>82</v>
      </c>
    </row>
    <row r="76" spans="1:11" ht="16" x14ac:dyDescent="0.2">
      <c r="A76" s="7" t="s">
        <v>191</v>
      </c>
      <c r="B76" s="4">
        <v>34699683</v>
      </c>
      <c r="C76" s="4" t="s">
        <v>392</v>
      </c>
      <c r="D76" s="4" t="s">
        <v>192</v>
      </c>
      <c r="E76" s="4" t="s">
        <v>82</v>
      </c>
    </row>
    <row r="77" spans="1:11" ht="16" x14ac:dyDescent="0.2">
      <c r="A77" s="7" t="s">
        <v>193</v>
      </c>
      <c r="B77" s="4">
        <v>212133681</v>
      </c>
      <c r="C77" s="4" t="s">
        <v>393</v>
      </c>
      <c r="D77" s="4" t="s">
        <v>194</v>
      </c>
      <c r="E77" s="4" t="s">
        <v>82</v>
      </c>
    </row>
    <row r="78" spans="1:11" ht="16" x14ac:dyDescent="0.2">
      <c r="A78" s="7" t="s">
        <v>195</v>
      </c>
      <c r="B78" s="4">
        <v>86932697</v>
      </c>
      <c r="C78" s="4" t="s">
        <v>394</v>
      </c>
      <c r="D78" s="4" t="s">
        <v>196</v>
      </c>
      <c r="E78" s="4" t="s">
        <v>82</v>
      </c>
    </row>
    <row r="79" spans="1:11" ht="16" x14ac:dyDescent="0.2">
      <c r="A79" s="4" t="s">
        <v>197</v>
      </c>
    </row>
    <row r="80" spans="1:11" ht="32" x14ac:dyDescent="0.2">
      <c r="A80" s="6" t="s">
        <v>198</v>
      </c>
      <c r="B80" s="4">
        <v>265909569</v>
      </c>
      <c r="C80" s="4" t="s">
        <v>395</v>
      </c>
      <c r="D80" s="4">
        <v>265909569</v>
      </c>
      <c r="E80" s="4" t="s">
        <v>79</v>
      </c>
    </row>
    <row r="81" spans="1:5" ht="16" x14ac:dyDescent="0.2">
      <c r="A81" s="7" t="s">
        <v>199</v>
      </c>
      <c r="B81" s="4">
        <v>15701246</v>
      </c>
      <c r="C81" s="4" t="s">
        <v>396</v>
      </c>
      <c r="D81" s="4" t="s">
        <v>159</v>
      </c>
      <c r="E81" s="4" t="s">
        <v>82</v>
      </c>
    </row>
    <row r="82" spans="1:5" ht="32" x14ac:dyDescent="0.2">
      <c r="A82" s="4" t="s">
        <v>200</v>
      </c>
    </row>
    <row r="83" spans="1:5" ht="32" x14ac:dyDescent="0.2">
      <c r="A83" s="6" t="s">
        <v>201</v>
      </c>
      <c r="B83" s="4">
        <v>335190522</v>
      </c>
      <c r="C83" s="4" t="s">
        <v>397</v>
      </c>
      <c r="D83" s="4">
        <v>335190522</v>
      </c>
      <c r="E83" s="4" t="s">
        <v>79</v>
      </c>
    </row>
    <row r="84" spans="1:5" ht="16" x14ac:dyDescent="0.2">
      <c r="A84" s="7" t="s">
        <v>202</v>
      </c>
      <c r="B84" s="4">
        <v>45838484</v>
      </c>
      <c r="C84" s="4" t="s">
        <v>398</v>
      </c>
      <c r="D84" s="4" t="s">
        <v>203</v>
      </c>
      <c r="E84" s="4" t="s">
        <v>82</v>
      </c>
    </row>
    <row r="85" spans="1:5" ht="16" x14ac:dyDescent="0.2">
      <c r="A85" s="6" t="s">
        <v>204</v>
      </c>
      <c r="B85" s="4">
        <v>72846879</v>
      </c>
      <c r="C85" s="4" t="s">
        <v>399</v>
      </c>
      <c r="D85" s="4">
        <v>72846879</v>
      </c>
      <c r="E85" s="4" t="s">
        <v>79</v>
      </c>
    </row>
    <row r="86" spans="1:5" ht="16" x14ac:dyDescent="0.2">
      <c r="A86" s="7" t="s">
        <v>202</v>
      </c>
      <c r="B86" s="4">
        <v>3811937</v>
      </c>
      <c r="C86" s="4" t="s">
        <v>400</v>
      </c>
      <c r="D86" s="4" t="s">
        <v>205</v>
      </c>
      <c r="E86" s="4" t="s">
        <v>82</v>
      </c>
    </row>
    <row r="87" spans="1:5" ht="16" x14ac:dyDescent="0.2">
      <c r="A87" s="6" t="s">
        <v>206</v>
      </c>
      <c r="B87" s="4">
        <v>202531317</v>
      </c>
      <c r="C87" s="4" t="s">
        <v>401</v>
      </c>
      <c r="D87" s="4">
        <v>202531317</v>
      </c>
      <c r="E87" s="4" t="s">
        <v>79</v>
      </c>
    </row>
    <row r="88" spans="1:5" ht="16" x14ac:dyDescent="0.2">
      <c r="A88" s="7" t="s">
        <v>202</v>
      </c>
      <c r="B88" s="4">
        <v>22595074</v>
      </c>
      <c r="C88" s="4" t="s">
        <v>402</v>
      </c>
      <c r="D88" s="4" t="s">
        <v>207</v>
      </c>
      <c r="E88" s="4" t="s">
        <v>82</v>
      </c>
    </row>
    <row r="89" spans="1:5" ht="16" x14ac:dyDescent="0.2">
      <c r="A89" s="6" t="s">
        <v>92</v>
      </c>
      <c r="B89" s="4">
        <v>59812326</v>
      </c>
      <c r="C89" s="4" t="s">
        <v>403</v>
      </c>
      <c r="D89" s="4">
        <v>59812326</v>
      </c>
      <c r="E89" s="4" t="s">
        <v>79</v>
      </c>
    </row>
    <row r="90" spans="1:5" ht="16" x14ac:dyDescent="0.2">
      <c r="A90" s="7" t="s">
        <v>202</v>
      </c>
      <c r="B90" s="4">
        <v>19431473</v>
      </c>
      <c r="C90" s="4" t="s">
        <v>404</v>
      </c>
      <c r="D90" s="4" t="s">
        <v>208</v>
      </c>
      <c r="E90" s="4" t="s">
        <v>82</v>
      </c>
    </row>
    <row r="91" spans="1:5" ht="16" x14ac:dyDescent="0.2">
      <c r="A91" s="4" t="s">
        <v>209</v>
      </c>
    </row>
    <row r="92" spans="1:5" ht="16" x14ac:dyDescent="0.2">
      <c r="A92" s="6" t="s">
        <v>210</v>
      </c>
      <c r="B92" s="4">
        <v>336636468</v>
      </c>
      <c r="C92" s="4" t="s">
        <v>405</v>
      </c>
      <c r="D92" s="4">
        <v>336636468</v>
      </c>
      <c r="E92" s="4" t="s">
        <v>79</v>
      </c>
    </row>
    <row r="93" spans="1:5" ht="16" x14ac:dyDescent="0.2">
      <c r="A93" s="7" t="s">
        <v>211</v>
      </c>
      <c r="B93" s="4">
        <v>297038514</v>
      </c>
      <c r="C93" s="4" t="s">
        <v>406</v>
      </c>
      <c r="D93" s="4" t="s">
        <v>212</v>
      </c>
      <c r="E93" s="4" t="s">
        <v>82</v>
      </c>
    </row>
    <row r="94" spans="1:5" ht="32" x14ac:dyDescent="0.2">
      <c r="A94" s="7" t="s">
        <v>213</v>
      </c>
      <c r="B94" s="4">
        <v>39597954</v>
      </c>
      <c r="C94" s="4" t="s">
        <v>407</v>
      </c>
      <c r="D94" s="4" t="s">
        <v>214</v>
      </c>
      <c r="E94" s="4" t="s">
        <v>82</v>
      </c>
    </row>
    <row r="95" spans="1:5" ht="16" x14ac:dyDescent="0.2">
      <c r="A95" s="8" t="s">
        <v>215</v>
      </c>
      <c r="B95" s="4">
        <v>37045761</v>
      </c>
      <c r="C95" s="4" t="s">
        <v>408</v>
      </c>
      <c r="D95" s="4" t="s">
        <v>216</v>
      </c>
      <c r="E95" s="4" t="s">
        <v>82</v>
      </c>
    </row>
    <row r="96" spans="1:5" ht="16" x14ac:dyDescent="0.2">
      <c r="A96" s="9" t="s">
        <v>217</v>
      </c>
      <c r="B96" s="4">
        <v>19924391</v>
      </c>
      <c r="C96" s="4" t="s">
        <v>409</v>
      </c>
      <c r="D96" s="4" t="s">
        <v>159</v>
      </c>
      <c r="E96" s="4" t="s">
        <v>82</v>
      </c>
    </row>
    <row r="97" spans="1:5" ht="16" x14ac:dyDescent="0.2">
      <c r="A97" s="9" t="s">
        <v>218</v>
      </c>
      <c r="B97" s="4">
        <v>17121370</v>
      </c>
      <c r="C97" s="4" t="s">
        <v>410</v>
      </c>
      <c r="D97" s="4" t="s">
        <v>156</v>
      </c>
      <c r="E97" s="4" t="s">
        <v>82</v>
      </c>
    </row>
    <row r="98" spans="1:5" ht="16" x14ac:dyDescent="0.2">
      <c r="A98" s="10" t="s">
        <v>219</v>
      </c>
      <c r="B98" s="4">
        <v>9963763</v>
      </c>
      <c r="C98" s="4" t="s">
        <v>411</v>
      </c>
      <c r="D98" s="4" t="s">
        <v>121</v>
      </c>
      <c r="E98" s="4" t="s">
        <v>82</v>
      </c>
    </row>
    <row r="99" spans="1:5" ht="16" x14ac:dyDescent="0.2">
      <c r="A99" s="10" t="s">
        <v>220</v>
      </c>
      <c r="B99" s="4">
        <v>7157607</v>
      </c>
      <c r="C99" s="4" t="s">
        <v>412</v>
      </c>
      <c r="D99" s="4" t="s">
        <v>221</v>
      </c>
      <c r="E99" s="4" t="s">
        <v>82</v>
      </c>
    </row>
    <row r="100" spans="1:5" ht="16" x14ac:dyDescent="0.2">
      <c r="A100" s="8" t="s">
        <v>222</v>
      </c>
      <c r="B100" s="4">
        <v>2552193</v>
      </c>
      <c r="C100" s="4" t="s">
        <v>413</v>
      </c>
      <c r="D100" s="4" t="s">
        <v>223</v>
      </c>
      <c r="E100" s="4" t="s">
        <v>82</v>
      </c>
    </row>
    <row r="101" spans="1:5" ht="16" x14ac:dyDescent="0.2">
      <c r="A101" s="4" t="s">
        <v>224</v>
      </c>
    </row>
    <row r="102" spans="1:5" ht="16" x14ac:dyDescent="0.2">
      <c r="A102" s="6" t="s">
        <v>225</v>
      </c>
      <c r="B102" s="4">
        <v>340110990</v>
      </c>
      <c r="C102" s="4" t="s">
        <v>109</v>
      </c>
      <c r="D102" s="4">
        <v>340110990</v>
      </c>
      <c r="E102" s="4" t="s">
        <v>79</v>
      </c>
    </row>
    <row r="103" spans="1:5" ht="16" x14ac:dyDescent="0.2">
      <c r="A103" s="7" t="s">
        <v>226</v>
      </c>
      <c r="B103" s="4">
        <v>289876132</v>
      </c>
      <c r="C103" s="4" t="s">
        <v>414</v>
      </c>
      <c r="D103" s="4" t="s">
        <v>227</v>
      </c>
      <c r="E103" s="4" t="s">
        <v>82</v>
      </c>
    </row>
    <row r="104" spans="1:5" ht="16" x14ac:dyDescent="0.2">
      <c r="A104" s="8" t="s">
        <v>228</v>
      </c>
      <c r="B104" s="4">
        <v>283989101</v>
      </c>
      <c r="C104" s="4" t="s">
        <v>415</v>
      </c>
      <c r="D104" s="4" t="s">
        <v>229</v>
      </c>
      <c r="E104" s="4" t="s">
        <v>82</v>
      </c>
    </row>
    <row r="105" spans="1:5" ht="16" x14ac:dyDescent="0.2">
      <c r="A105" s="9" t="s">
        <v>230</v>
      </c>
      <c r="B105" s="4">
        <v>192192461</v>
      </c>
      <c r="C105" s="4" t="s">
        <v>416</v>
      </c>
      <c r="D105" s="4" t="s">
        <v>231</v>
      </c>
      <c r="E105" s="4" t="s">
        <v>82</v>
      </c>
    </row>
    <row r="106" spans="1:5" ht="16" x14ac:dyDescent="0.2">
      <c r="A106" s="9" t="s">
        <v>220</v>
      </c>
      <c r="B106" s="4">
        <v>91796640</v>
      </c>
      <c r="C106" s="4" t="s">
        <v>417</v>
      </c>
      <c r="D106" s="4" t="s">
        <v>232</v>
      </c>
      <c r="E106" s="4" t="s">
        <v>82</v>
      </c>
    </row>
    <row r="107" spans="1:5" ht="48" x14ac:dyDescent="0.2">
      <c r="A107" s="8" t="s">
        <v>418</v>
      </c>
      <c r="B107" s="4">
        <v>5887031</v>
      </c>
      <c r="C107" s="4" t="s">
        <v>419</v>
      </c>
      <c r="D107" s="4" t="s">
        <v>233</v>
      </c>
      <c r="E107" s="4" t="s">
        <v>82</v>
      </c>
    </row>
    <row r="108" spans="1:5" ht="16" x14ac:dyDescent="0.2">
      <c r="A108" s="7" t="s">
        <v>234</v>
      </c>
      <c r="B108" s="4">
        <v>50234858</v>
      </c>
      <c r="C108" s="4" t="s">
        <v>420</v>
      </c>
      <c r="D108" s="4" t="s">
        <v>235</v>
      </c>
      <c r="E108" s="4" t="s">
        <v>82</v>
      </c>
    </row>
    <row r="109" spans="1:5" ht="16" x14ac:dyDescent="0.2">
      <c r="A109" s="4" t="s">
        <v>236</v>
      </c>
    </row>
    <row r="110" spans="1:5" ht="16" x14ac:dyDescent="0.2">
      <c r="A110" s="6" t="s">
        <v>237</v>
      </c>
      <c r="B110" s="4">
        <v>50234858</v>
      </c>
      <c r="C110" s="4" t="s">
        <v>420</v>
      </c>
      <c r="D110" s="4">
        <v>50234858</v>
      </c>
      <c r="E110" s="4" t="s">
        <v>79</v>
      </c>
    </row>
    <row r="111" spans="1:5" ht="16" x14ac:dyDescent="0.2">
      <c r="A111" s="7" t="s">
        <v>238</v>
      </c>
      <c r="B111" s="4">
        <v>25837975</v>
      </c>
      <c r="C111" s="4" t="s">
        <v>421</v>
      </c>
      <c r="D111" s="4" t="s">
        <v>239</v>
      </c>
      <c r="E111" s="4" t="s">
        <v>157</v>
      </c>
    </row>
    <row r="112" spans="1:5" ht="16" x14ac:dyDescent="0.2">
      <c r="A112" s="7" t="s">
        <v>240</v>
      </c>
      <c r="B112" s="4">
        <v>24396883</v>
      </c>
      <c r="C112" s="4" t="s">
        <v>422</v>
      </c>
      <c r="D112" s="4" t="s">
        <v>241</v>
      </c>
      <c r="E112" s="4" t="s">
        <v>157</v>
      </c>
    </row>
    <row r="113" spans="1:5" ht="16" x14ac:dyDescent="0.2">
      <c r="A113" s="4" t="s">
        <v>242</v>
      </c>
    </row>
    <row r="114" spans="1:5" ht="32" x14ac:dyDescent="0.2">
      <c r="A114" s="6" t="s">
        <v>243</v>
      </c>
      <c r="B114" s="4">
        <v>56121889</v>
      </c>
      <c r="C114" s="4" t="s">
        <v>423</v>
      </c>
      <c r="D114" s="4">
        <v>56121889</v>
      </c>
      <c r="E114" s="4" t="s">
        <v>79</v>
      </c>
    </row>
    <row r="115" spans="1:5" ht="16" x14ac:dyDescent="0.2">
      <c r="A115" s="7" t="s">
        <v>226</v>
      </c>
      <c r="B115" s="4">
        <v>5887031</v>
      </c>
      <c r="C115" s="4" t="s">
        <v>419</v>
      </c>
      <c r="D115" s="4">
        <v>5887031</v>
      </c>
      <c r="E115" s="4" t="s">
        <v>79</v>
      </c>
    </row>
    <row r="116" spans="1:5" ht="16" x14ac:dyDescent="0.2">
      <c r="A116" s="8" t="s">
        <v>244</v>
      </c>
      <c r="B116" s="4">
        <v>2113102</v>
      </c>
      <c r="C116" s="4" t="s">
        <v>424</v>
      </c>
      <c r="D116" s="4" t="s">
        <v>245</v>
      </c>
      <c r="E116" s="4" t="s">
        <v>246</v>
      </c>
    </row>
    <row r="117" spans="1:5" ht="16" x14ac:dyDescent="0.2">
      <c r="A117" s="8" t="s">
        <v>247</v>
      </c>
      <c r="B117" s="4">
        <v>3773929</v>
      </c>
      <c r="C117" s="4" t="s">
        <v>425</v>
      </c>
      <c r="D117" s="4" t="s">
        <v>248</v>
      </c>
      <c r="E117" s="4" t="s">
        <v>246</v>
      </c>
    </row>
    <row r="118" spans="1:5" ht="16" x14ac:dyDescent="0.2">
      <c r="A118" s="7" t="s">
        <v>234</v>
      </c>
      <c r="B118" s="4">
        <v>50234858</v>
      </c>
      <c r="C118" s="4" t="s">
        <v>420</v>
      </c>
      <c r="D118" s="4">
        <v>50234858</v>
      </c>
      <c r="E118" s="4" t="s">
        <v>79</v>
      </c>
    </row>
    <row r="119" spans="1:5" ht="16" x14ac:dyDescent="0.2">
      <c r="A119" s="8" t="s">
        <v>244</v>
      </c>
      <c r="B119" s="4">
        <v>18950166</v>
      </c>
      <c r="C119" s="4" t="s">
        <v>426</v>
      </c>
      <c r="D119" s="4" t="s">
        <v>249</v>
      </c>
      <c r="E119" s="4" t="s">
        <v>157</v>
      </c>
    </row>
    <row r="120" spans="1:5" ht="16" x14ac:dyDescent="0.2">
      <c r="A120" s="8" t="s">
        <v>247</v>
      </c>
      <c r="B120" s="4">
        <v>31284692</v>
      </c>
      <c r="C120" s="4" t="s">
        <v>427</v>
      </c>
      <c r="D120" s="4" t="s">
        <v>250</v>
      </c>
      <c r="E120" s="4" t="s">
        <v>157</v>
      </c>
    </row>
    <row r="121" spans="1:5" ht="32" x14ac:dyDescent="0.2">
      <c r="A121" s="4" t="s">
        <v>251</v>
      </c>
    </row>
    <row r="122" spans="1:5" ht="32" x14ac:dyDescent="0.2">
      <c r="A122" s="6" t="s">
        <v>428</v>
      </c>
      <c r="B122" s="4">
        <v>50234841</v>
      </c>
      <c r="C122" s="4" t="s">
        <v>429</v>
      </c>
      <c r="D122" s="4">
        <v>50234841</v>
      </c>
      <c r="E122" s="4" t="s">
        <v>79</v>
      </c>
    </row>
    <row r="123" spans="1:5" ht="16" x14ac:dyDescent="0.2">
      <c r="A123" s="7" t="s">
        <v>252</v>
      </c>
      <c r="B123" s="4">
        <v>4861535</v>
      </c>
      <c r="C123" s="4" t="s">
        <v>430</v>
      </c>
      <c r="D123" s="4" t="s">
        <v>253</v>
      </c>
      <c r="E123" s="4" t="s">
        <v>82</v>
      </c>
    </row>
    <row r="124" spans="1:5" ht="16" x14ac:dyDescent="0.2">
      <c r="A124" s="7" t="s">
        <v>254</v>
      </c>
      <c r="B124" s="4">
        <v>15471414</v>
      </c>
      <c r="C124" s="4" t="s">
        <v>431</v>
      </c>
      <c r="D124" s="4" t="s">
        <v>255</v>
      </c>
      <c r="E124" s="4" t="s">
        <v>82</v>
      </c>
    </row>
    <row r="125" spans="1:5" ht="16" x14ac:dyDescent="0.2">
      <c r="A125" s="7" t="s">
        <v>256</v>
      </c>
      <c r="B125" s="4">
        <v>2968817</v>
      </c>
      <c r="C125" s="4" t="s">
        <v>432</v>
      </c>
      <c r="D125" s="4" t="s">
        <v>159</v>
      </c>
      <c r="E125" s="4" t="s">
        <v>82</v>
      </c>
    </row>
    <row r="126" spans="1:5" ht="16" x14ac:dyDescent="0.2">
      <c r="A126" s="7" t="s">
        <v>257</v>
      </c>
      <c r="B126" s="4">
        <v>303835</v>
      </c>
      <c r="C126" s="4" t="s">
        <v>433</v>
      </c>
      <c r="D126" s="4" t="s">
        <v>258</v>
      </c>
      <c r="E126" s="4" t="s">
        <v>82</v>
      </c>
    </row>
    <row r="127" spans="1:5" ht="16" x14ac:dyDescent="0.2">
      <c r="A127" s="7" t="s">
        <v>259</v>
      </c>
      <c r="B127" s="4">
        <v>25798758</v>
      </c>
      <c r="C127" s="4" t="s">
        <v>434</v>
      </c>
      <c r="D127" s="4" t="s">
        <v>239</v>
      </c>
      <c r="E127" s="4" t="s">
        <v>157</v>
      </c>
    </row>
    <row r="128" spans="1:5" ht="16" x14ac:dyDescent="0.2">
      <c r="A128" s="7" t="s">
        <v>260</v>
      </c>
      <c r="B128" s="4">
        <v>830482</v>
      </c>
      <c r="C128" s="4" t="s">
        <v>435</v>
      </c>
      <c r="D128" s="4" t="s">
        <v>233</v>
      </c>
      <c r="E128" s="4" t="s">
        <v>82</v>
      </c>
    </row>
    <row r="129" spans="1:5" ht="16" x14ac:dyDescent="0.2">
      <c r="A129" s="4" t="s">
        <v>261</v>
      </c>
    </row>
    <row r="130" spans="1:5" ht="16" x14ac:dyDescent="0.2">
      <c r="A130" s="6" t="s">
        <v>262</v>
      </c>
      <c r="B130" s="4">
        <v>321745943</v>
      </c>
      <c r="C130" s="4" t="s">
        <v>436</v>
      </c>
      <c r="D130" s="4">
        <v>321745943</v>
      </c>
      <c r="E130" s="4" t="s">
        <v>79</v>
      </c>
    </row>
    <row r="131" spans="1:5" ht="16" x14ac:dyDescent="0.2">
      <c r="A131" s="7" t="s">
        <v>263</v>
      </c>
      <c r="B131" s="4">
        <v>247695110</v>
      </c>
      <c r="C131" s="4" t="s">
        <v>437</v>
      </c>
      <c r="D131" s="4" t="s">
        <v>264</v>
      </c>
      <c r="E131" s="4" t="s">
        <v>82</v>
      </c>
    </row>
    <row r="132" spans="1:5" ht="16" x14ac:dyDescent="0.2">
      <c r="A132" s="7" t="s">
        <v>265</v>
      </c>
      <c r="B132" s="4">
        <v>74050833</v>
      </c>
      <c r="C132" s="4" t="s">
        <v>438</v>
      </c>
      <c r="D132" s="4" t="s">
        <v>266</v>
      </c>
      <c r="E132" s="4" t="s">
        <v>82</v>
      </c>
    </row>
    <row r="133" spans="1:5" ht="16" x14ac:dyDescent="0.2">
      <c r="A133" s="8" t="s">
        <v>267</v>
      </c>
      <c r="B133" s="4">
        <v>28918748</v>
      </c>
      <c r="C133" s="4" t="s">
        <v>439</v>
      </c>
      <c r="D133" s="4" t="s">
        <v>268</v>
      </c>
      <c r="E133" s="4" t="s">
        <v>82</v>
      </c>
    </row>
    <row r="134" spans="1:5" ht="16" x14ac:dyDescent="0.2">
      <c r="A134" s="7" t="s">
        <v>269</v>
      </c>
      <c r="B134" s="4">
        <v>44867699</v>
      </c>
      <c r="C134" s="4" t="s">
        <v>440</v>
      </c>
      <c r="D134" s="4" t="s">
        <v>270</v>
      </c>
      <c r="E134" s="4" t="s">
        <v>82</v>
      </c>
    </row>
    <row r="135" spans="1:5" ht="16" x14ac:dyDescent="0.2">
      <c r="A135" s="8" t="s">
        <v>267</v>
      </c>
      <c r="B135" s="4">
        <v>18432221</v>
      </c>
      <c r="C135" s="4" t="s">
        <v>441</v>
      </c>
      <c r="D135" s="4" t="s">
        <v>271</v>
      </c>
      <c r="E135" s="4" t="s">
        <v>82</v>
      </c>
    </row>
    <row r="136" spans="1:5" ht="16" x14ac:dyDescent="0.2">
      <c r="A136" s="7" t="s">
        <v>272</v>
      </c>
      <c r="B136" s="4">
        <v>13038087</v>
      </c>
      <c r="C136" s="4" t="s">
        <v>442</v>
      </c>
      <c r="D136" s="4" t="s">
        <v>93</v>
      </c>
      <c r="E136" s="4" t="s">
        <v>82</v>
      </c>
    </row>
    <row r="137" spans="1:5" ht="16" x14ac:dyDescent="0.2">
      <c r="A137" s="8" t="s">
        <v>267</v>
      </c>
      <c r="B137" s="4">
        <v>4112567</v>
      </c>
      <c r="C137" s="4" t="s">
        <v>443</v>
      </c>
      <c r="D137" s="4" t="s">
        <v>273</v>
      </c>
      <c r="E137" s="4" t="s">
        <v>82</v>
      </c>
    </row>
    <row r="138" spans="1:5" ht="32" x14ac:dyDescent="0.2">
      <c r="A138" s="7" t="s">
        <v>274</v>
      </c>
      <c r="B138" s="4">
        <v>11928962</v>
      </c>
      <c r="C138" s="4" t="s">
        <v>444</v>
      </c>
      <c r="D138" s="4" t="s">
        <v>275</v>
      </c>
      <c r="E138" s="4" t="s">
        <v>82</v>
      </c>
    </row>
    <row r="139" spans="1:5" ht="16" x14ac:dyDescent="0.2">
      <c r="A139" s="8" t="s">
        <v>267</v>
      </c>
      <c r="B139" s="4">
        <v>5136296</v>
      </c>
      <c r="C139" s="4" t="s">
        <v>445</v>
      </c>
      <c r="D139" s="4" t="s">
        <v>276</v>
      </c>
      <c r="E139" s="4" t="s">
        <v>82</v>
      </c>
    </row>
    <row r="140" spans="1:5" ht="16" x14ac:dyDescent="0.2">
      <c r="A140" s="7" t="s">
        <v>277</v>
      </c>
      <c r="B140" s="4">
        <v>4216085</v>
      </c>
      <c r="C140" s="4" t="s">
        <v>446</v>
      </c>
      <c r="D140" s="4" t="s">
        <v>273</v>
      </c>
      <c r="E140" s="4" t="s">
        <v>82</v>
      </c>
    </row>
    <row r="141" spans="1:5" ht="16" x14ac:dyDescent="0.2">
      <c r="A141" s="8" t="s">
        <v>267</v>
      </c>
      <c r="B141" s="4">
        <v>1237664</v>
      </c>
      <c r="C141" s="4" t="s">
        <v>447</v>
      </c>
      <c r="D141" s="4" t="s">
        <v>278</v>
      </c>
      <c r="E141" s="4" t="s">
        <v>82</v>
      </c>
    </row>
    <row r="142" spans="1:5" ht="16" x14ac:dyDescent="0.2">
      <c r="A142" s="4" t="s">
        <v>279</v>
      </c>
    </row>
    <row r="143" spans="1:5" ht="16" x14ac:dyDescent="0.2">
      <c r="A143" s="6" t="s">
        <v>225</v>
      </c>
      <c r="B143" s="4">
        <v>340110990</v>
      </c>
      <c r="C143" s="4" t="s">
        <v>109</v>
      </c>
      <c r="D143" s="4">
        <v>340110990</v>
      </c>
      <c r="E143" s="4" t="s">
        <v>79</v>
      </c>
    </row>
    <row r="144" spans="1:5" ht="16" x14ac:dyDescent="0.2">
      <c r="A144" s="7" t="s">
        <v>280</v>
      </c>
      <c r="B144" s="4">
        <v>18060343</v>
      </c>
      <c r="C144" s="4" t="s">
        <v>448</v>
      </c>
      <c r="D144" s="4" t="s">
        <v>281</v>
      </c>
      <c r="E144" s="4" t="s">
        <v>82</v>
      </c>
    </row>
    <row r="145" spans="1:5" ht="16" x14ac:dyDescent="0.2">
      <c r="A145" s="7" t="s">
        <v>282</v>
      </c>
      <c r="B145" s="4">
        <v>2349805</v>
      </c>
      <c r="C145" s="4" t="s">
        <v>449</v>
      </c>
      <c r="D145" s="4" t="s">
        <v>283</v>
      </c>
      <c r="E145" s="4" t="s">
        <v>82</v>
      </c>
    </row>
    <row r="146" spans="1:5" ht="16" x14ac:dyDescent="0.2">
      <c r="A146" s="7" t="s">
        <v>284</v>
      </c>
      <c r="B146" s="4">
        <v>1200285</v>
      </c>
      <c r="C146" s="4" t="s">
        <v>450</v>
      </c>
      <c r="D146" s="4" t="s">
        <v>278</v>
      </c>
      <c r="E146" s="4" t="s">
        <v>82</v>
      </c>
    </row>
    <row r="147" spans="1:5" ht="16" x14ac:dyDescent="0.2">
      <c r="A147" s="7" t="s">
        <v>285</v>
      </c>
      <c r="B147" s="4">
        <v>1110484</v>
      </c>
      <c r="C147" s="4" t="s">
        <v>451</v>
      </c>
      <c r="D147" s="4" t="s">
        <v>286</v>
      </c>
      <c r="E147" s="4" t="s">
        <v>82</v>
      </c>
    </row>
    <row r="148" spans="1:5" ht="16" x14ac:dyDescent="0.2">
      <c r="A148" s="7" t="s">
        <v>287</v>
      </c>
      <c r="B148" s="4">
        <v>3011733</v>
      </c>
      <c r="C148" s="4" t="s">
        <v>452</v>
      </c>
      <c r="D148" s="4" t="s">
        <v>288</v>
      </c>
      <c r="E148" s="4" t="s">
        <v>82</v>
      </c>
    </row>
    <row r="149" spans="1:5" ht="16" x14ac:dyDescent="0.2">
      <c r="A149" s="7" t="s">
        <v>289</v>
      </c>
      <c r="B149" s="4">
        <v>31017275</v>
      </c>
      <c r="C149" s="4" t="s">
        <v>453</v>
      </c>
      <c r="D149" s="4" t="s">
        <v>290</v>
      </c>
      <c r="E149" s="4" t="s">
        <v>82</v>
      </c>
    </row>
    <row r="150" spans="1:5" ht="16" x14ac:dyDescent="0.2">
      <c r="A150" s="7" t="s">
        <v>291</v>
      </c>
      <c r="B150" s="4">
        <v>6128915</v>
      </c>
      <c r="C150" s="4" t="s">
        <v>454</v>
      </c>
      <c r="D150" s="4" t="s">
        <v>136</v>
      </c>
      <c r="E150" s="4" t="s">
        <v>82</v>
      </c>
    </row>
    <row r="151" spans="1:5" ht="16" x14ac:dyDescent="0.2">
      <c r="A151" s="7" t="s">
        <v>292</v>
      </c>
      <c r="B151" s="4">
        <v>1589295</v>
      </c>
      <c r="C151" s="4" t="s">
        <v>455</v>
      </c>
      <c r="D151" s="4" t="s">
        <v>293</v>
      </c>
      <c r="E151" s="4" t="s">
        <v>82</v>
      </c>
    </row>
    <row r="152" spans="1:5" ht="16" x14ac:dyDescent="0.2">
      <c r="A152" s="7" t="s">
        <v>294</v>
      </c>
      <c r="B152" s="4">
        <v>40218028</v>
      </c>
      <c r="C152" s="4" t="s">
        <v>456</v>
      </c>
      <c r="D152" s="4" t="s">
        <v>214</v>
      </c>
      <c r="E152" s="4" t="s">
        <v>82</v>
      </c>
    </row>
    <row r="153" spans="1:5" ht="16" x14ac:dyDescent="0.2">
      <c r="A153" s="7" t="s">
        <v>295</v>
      </c>
      <c r="B153" s="4">
        <v>1207425</v>
      </c>
      <c r="C153" s="4" t="s">
        <v>457</v>
      </c>
      <c r="D153" s="4" t="s">
        <v>278</v>
      </c>
      <c r="E153" s="4" t="s">
        <v>82</v>
      </c>
    </row>
    <row r="154" spans="1:5" ht="16" x14ac:dyDescent="0.2">
      <c r="A154" s="7" t="s">
        <v>296</v>
      </c>
      <c r="B154" s="4">
        <v>1277896</v>
      </c>
      <c r="C154" s="4" t="s">
        <v>458</v>
      </c>
      <c r="D154" s="4" t="s">
        <v>278</v>
      </c>
      <c r="E154" s="4" t="s">
        <v>82</v>
      </c>
    </row>
    <row r="155" spans="1:5" ht="16" x14ac:dyDescent="0.2">
      <c r="A155" s="7" t="s">
        <v>297</v>
      </c>
      <c r="B155" s="4">
        <v>32392581</v>
      </c>
      <c r="C155" s="4" t="s">
        <v>459</v>
      </c>
      <c r="D155" s="4" t="s">
        <v>298</v>
      </c>
      <c r="E155" s="4" t="s">
        <v>82</v>
      </c>
    </row>
    <row r="156" spans="1:5" ht="16" x14ac:dyDescent="0.2">
      <c r="A156" s="7" t="s">
        <v>299</v>
      </c>
      <c r="B156" s="4">
        <v>16271362</v>
      </c>
      <c r="C156" s="4" t="s">
        <v>460</v>
      </c>
      <c r="D156" s="4" t="s">
        <v>300</v>
      </c>
      <c r="E156" s="4" t="s">
        <v>82</v>
      </c>
    </row>
    <row r="157" spans="1:5" ht="16" x14ac:dyDescent="0.2">
      <c r="A157" s="7" t="s">
        <v>301</v>
      </c>
      <c r="B157" s="4">
        <v>593350</v>
      </c>
      <c r="C157" s="4" t="s">
        <v>461</v>
      </c>
      <c r="D157" s="4" t="s">
        <v>302</v>
      </c>
      <c r="E157" s="4" t="s">
        <v>82</v>
      </c>
    </row>
    <row r="158" spans="1:5" ht="16" x14ac:dyDescent="0.2">
      <c r="A158" s="7" t="s">
        <v>303</v>
      </c>
      <c r="B158" s="4">
        <v>3864701</v>
      </c>
      <c r="C158" s="4" t="s">
        <v>462</v>
      </c>
      <c r="D158" s="4" t="s">
        <v>304</v>
      </c>
      <c r="E158" s="4" t="s">
        <v>82</v>
      </c>
    </row>
    <row r="159" spans="1:5" ht="16" x14ac:dyDescent="0.2">
      <c r="A159" s="7" t="s">
        <v>305</v>
      </c>
      <c r="B159" s="4">
        <v>8342225</v>
      </c>
      <c r="C159" s="4" t="s">
        <v>463</v>
      </c>
      <c r="D159" s="4" t="s">
        <v>306</v>
      </c>
      <c r="E159" s="4" t="s">
        <v>82</v>
      </c>
    </row>
    <row r="160" spans="1:5" ht="16" x14ac:dyDescent="0.2">
      <c r="A160" s="7" t="s">
        <v>307</v>
      </c>
      <c r="B160" s="4">
        <v>1370146</v>
      </c>
      <c r="C160" s="4" t="s">
        <v>464</v>
      </c>
      <c r="D160" s="4" t="s">
        <v>278</v>
      </c>
      <c r="E160" s="4" t="s">
        <v>82</v>
      </c>
    </row>
    <row r="161" spans="1:5" ht="16" x14ac:dyDescent="0.2">
      <c r="A161" s="7" t="s">
        <v>308</v>
      </c>
      <c r="B161" s="4">
        <v>2055088</v>
      </c>
      <c r="C161" s="4" t="s">
        <v>465</v>
      </c>
      <c r="D161" s="4" t="s">
        <v>258</v>
      </c>
      <c r="E161" s="4" t="s">
        <v>82</v>
      </c>
    </row>
    <row r="162" spans="1:5" ht="16" x14ac:dyDescent="0.2">
      <c r="A162" s="7" t="s">
        <v>309</v>
      </c>
      <c r="B162" s="4">
        <v>2509053</v>
      </c>
      <c r="C162" s="4" t="s">
        <v>466</v>
      </c>
      <c r="D162" s="4" t="s">
        <v>283</v>
      </c>
      <c r="E162" s="4" t="s">
        <v>82</v>
      </c>
    </row>
    <row r="163" spans="1:5" ht="16" x14ac:dyDescent="0.2">
      <c r="A163" s="7" t="s">
        <v>310</v>
      </c>
      <c r="B163" s="4">
        <v>6580952</v>
      </c>
      <c r="C163" s="4" t="s">
        <v>467</v>
      </c>
      <c r="D163" s="4" t="s">
        <v>311</v>
      </c>
      <c r="E163" s="4" t="s">
        <v>82</v>
      </c>
    </row>
    <row r="164" spans="1:5" ht="16" x14ac:dyDescent="0.2">
      <c r="A164" s="7" t="s">
        <v>312</v>
      </c>
      <c r="B164" s="4">
        <v>574325</v>
      </c>
      <c r="C164" s="4" t="s">
        <v>468</v>
      </c>
      <c r="D164" s="4" t="s">
        <v>302</v>
      </c>
      <c r="E164" s="4" t="s">
        <v>82</v>
      </c>
    </row>
    <row r="165" spans="1:5" ht="16" x14ac:dyDescent="0.2">
      <c r="A165" s="7" t="s">
        <v>313</v>
      </c>
      <c r="B165" s="4">
        <v>4686257</v>
      </c>
      <c r="C165" s="4" t="s">
        <v>469</v>
      </c>
      <c r="D165" s="4" t="s">
        <v>128</v>
      </c>
      <c r="E165" s="4" t="s">
        <v>82</v>
      </c>
    </row>
    <row r="166" spans="1:5" ht="16" x14ac:dyDescent="0.2">
      <c r="A166" s="7" t="s">
        <v>314</v>
      </c>
      <c r="B166" s="4">
        <v>3251869</v>
      </c>
      <c r="C166" s="4" t="s">
        <v>470</v>
      </c>
      <c r="D166" s="4" t="s">
        <v>315</v>
      </c>
      <c r="E166" s="4" t="s">
        <v>82</v>
      </c>
    </row>
    <row r="167" spans="1:5" ht="16" x14ac:dyDescent="0.2">
      <c r="A167" s="7" t="s">
        <v>316</v>
      </c>
      <c r="B167" s="4">
        <v>861324</v>
      </c>
      <c r="C167" s="4" t="s">
        <v>471</v>
      </c>
      <c r="D167" s="4" t="s">
        <v>286</v>
      </c>
      <c r="E167" s="4" t="s">
        <v>82</v>
      </c>
    </row>
    <row r="168" spans="1:5" ht="16" x14ac:dyDescent="0.2">
      <c r="A168" s="7" t="s">
        <v>317</v>
      </c>
      <c r="B168" s="4">
        <v>1263837</v>
      </c>
      <c r="C168" s="4" t="s">
        <v>472</v>
      </c>
      <c r="D168" s="4" t="s">
        <v>278</v>
      </c>
      <c r="E168" s="4" t="s">
        <v>82</v>
      </c>
    </row>
    <row r="169" spans="1:5" ht="16" x14ac:dyDescent="0.2">
      <c r="A169" s="7" t="s">
        <v>318</v>
      </c>
      <c r="B169" s="4">
        <v>1532031</v>
      </c>
      <c r="C169" s="4" t="s">
        <v>473</v>
      </c>
      <c r="D169" s="4" t="s">
        <v>293</v>
      </c>
      <c r="E169" s="4" t="s">
        <v>82</v>
      </c>
    </row>
    <row r="170" spans="1:5" ht="32" x14ac:dyDescent="0.2">
      <c r="A170" s="7" t="s">
        <v>319</v>
      </c>
      <c r="B170" s="4">
        <v>3518552</v>
      </c>
      <c r="C170" s="4" t="s">
        <v>474</v>
      </c>
      <c r="D170" s="4" t="s">
        <v>315</v>
      </c>
      <c r="E170" s="4" t="s">
        <v>82</v>
      </c>
    </row>
    <row r="171" spans="1:5" ht="16" x14ac:dyDescent="0.2">
      <c r="A171" s="4" t="s">
        <v>320</v>
      </c>
    </row>
    <row r="172" spans="1:5" ht="16" x14ac:dyDescent="0.2">
      <c r="A172" s="6" t="s">
        <v>78</v>
      </c>
      <c r="B172" s="4">
        <v>132737146</v>
      </c>
      <c r="C172" s="4" t="s">
        <v>325</v>
      </c>
      <c r="D172" s="4">
        <v>132737146</v>
      </c>
      <c r="E172" s="4" t="s">
        <v>79</v>
      </c>
    </row>
    <row r="173" spans="1:5" ht="16" x14ac:dyDescent="0.2">
      <c r="A173" s="7" t="s">
        <v>321</v>
      </c>
      <c r="B173" s="4">
        <v>128230933</v>
      </c>
      <c r="C173" s="4" t="s">
        <v>475</v>
      </c>
      <c r="D173" s="4" t="s">
        <v>322</v>
      </c>
      <c r="E173" s="4" t="s">
        <v>82</v>
      </c>
    </row>
    <row r="174" spans="1:5" ht="32" x14ac:dyDescent="0.2">
      <c r="A174" s="7" t="s">
        <v>323</v>
      </c>
      <c r="B174" s="4">
        <v>123745956</v>
      </c>
      <c r="C174" s="4" t="s">
        <v>476</v>
      </c>
      <c r="D174" s="4" t="s">
        <v>324</v>
      </c>
      <c r="E174" s="4" t="s">
        <v>82</v>
      </c>
    </row>
  </sheetData>
  <mergeCells count="17">
    <mergeCell ref="L42:M42"/>
    <mergeCell ref="J42:K42"/>
    <mergeCell ref="Q42:R42"/>
    <mergeCell ref="S42:T42"/>
    <mergeCell ref="U4:V4"/>
    <mergeCell ref="W4:X4"/>
    <mergeCell ref="V5:V6"/>
    <mergeCell ref="X5:X6"/>
    <mergeCell ref="V7:V8"/>
    <mergeCell ref="X7:X8"/>
    <mergeCell ref="B1:E1"/>
    <mergeCell ref="N4:N5"/>
    <mergeCell ref="N6:N7"/>
    <mergeCell ref="L4:L5"/>
    <mergeCell ref="L6:L7"/>
    <mergeCell ref="K3:L3"/>
    <mergeCell ref="M3:N3"/>
  </mergeCells>
  <printOptions gridLines="1"/>
  <pageMargins left="0.7" right="0.7" top="0.75" bottom="0.75" header="0.3" footer="0.3"/>
  <pageSetup pageOrder="overThenDown" orientation="landscape"/>
  <headerFooter>
    <oddHeader>&amp;LTable: ACSDP1Y2024.DP02</oddHeader>
    <oddFooter>&amp;L&amp;Bdata.census.gov&amp;B | Measuring America's People, Places, and Economy &amp;R&amp;P</oddFooter>
    <evenHeader>&amp;LTable: ACSDP1Y2024.DP02</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Information</vt:lpstr>
      <vt:lpstr>Data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2026-03-13T19:03:13Z</dcterms:created>
  <dcterms:modified xsi:type="dcterms:W3CDTF">2026-03-13T19:48:53Z</dcterms:modified>
</cp:coreProperties>
</file>