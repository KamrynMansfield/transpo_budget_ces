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filterPrivacy="1"/>
  <xr:revisionPtr revIDLastSave="0" documentId="13_ncr:1_{2B250E82-6137-8045-967B-DFD744D63FB7}" xr6:coauthVersionLast="47" xr6:coauthVersionMax="47" xr10:uidLastSave="{00000000-0000-0000-0000-000000000000}"/>
  <bookViews>
    <workbookView xWindow="0" yWindow="600" windowWidth="38400" windowHeight="19200" activeTab="2" xr2:uid="{00000000-000D-0000-FFFF-FFFF00000000}"/>
  </bookViews>
  <sheets>
    <sheet name="Information" sheetId="1" r:id="rId1"/>
    <sheet name="Data" sheetId="2" r:id="rId2"/>
    <sheet name="Sheet1" sheetId="3" r:id="rId3"/>
  </sheets>
  <definedNames>
    <definedName name="_xlnm._FilterDatabase" localSheetId="2" hidden="1">Sheet1!$A$1:$E$52</definedName>
    <definedName name="_xlnm.Print_Titles" localSheetId="1">Data!$A:$A,Data!$1:$1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/>
  <c r="L5" i="3"/>
  <c r="L4" i="3"/>
  <c r="L3" i="3"/>
  <c r="K6" i="3"/>
  <c r="K5" i="3"/>
  <c r="K4" i="3"/>
  <c r="K3" i="3"/>
  <c r="D53" i="3"/>
  <c r="C53" i="3"/>
  <c r="B53" i="3"/>
  <c r="B54" i="3" s="1"/>
  <c r="BB4" i="2"/>
  <c r="BB3" i="2"/>
  <c r="BB2" i="2"/>
  <c r="BA3" i="2"/>
  <c r="BA4" i="2"/>
  <c r="BA5" i="2"/>
  <c r="BA2" i="2"/>
  <c r="D54" i="3" l="1"/>
  <c r="C54" i="3"/>
</calcChain>
</file>

<file path=xl/sharedStrings.xml><?xml version="1.0" encoding="utf-8"?>
<sst xmlns="http://schemas.openxmlformats.org/spreadsheetml/2006/main" count="277" uniqueCount="107">
  <si>
    <t>URBAN AND RURAL</t>
  </si>
  <si>
    <t>Note: The table shown may have been modified by user selections. Some information may be missing.</t>
  </si>
  <si>
    <t>DATA NOTES</t>
  </si>
  <si>
    <t/>
  </si>
  <si>
    <t>TABLE ID:</t>
  </si>
  <si>
    <t>P2</t>
  </si>
  <si>
    <t>SURVEY/PROGRAM:</t>
  </si>
  <si>
    <t>Decennial Census</t>
  </si>
  <si>
    <t>VINTAGE:</t>
  </si>
  <si>
    <t>2020</t>
  </si>
  <si>
    <t>DATASET:</t>
  </si>
  <si>
    <t>DECENNIALCD1182020</t>
  </si>
  <si>
    <t>PRODUCT:</t>
  </si>
  <si>
    <t>DEC 118th Congressional District Summary File</t>
  </si>
  <si>
    <t>UNIVERSE:</t>
  </si>
  <si>
    <t>Total population</t>
  </si>
  <si>
    <t>MLA:</t>
  </si>
  <si>
    <t>U.S. Census Bureau. "URBAN AND RURAL." Decennial Census, DEC 118th Congressional District Summary File, Table P2, https://data.census.gov/table/DECENNIALCD1182020.P2. Accessed on 13 Mar 2026.</t>
  </si>
  <si>
    <t>FTP URL:</t>
  </si>
  <si>
    <t>https://www2.census.gov/programs-surveys/decennial/2020/data/</t>
  </si>
  <si>
    <t>API URL:</t>
  </si>
  <si>
    <t>https://api.census.gov/data/2020/dec/cd118</t>
  </si>
  <si>
    <t>USER SELECTIONS</t>
  </si>
  <si>
    <t>None</t>
  </si>
  <si>
    <t>EXCLUDED COLUMNS</t>
  </si>
  <si>
    <t>APPLIED FILTERS</t>
  </si>
  <si>
    <t>APPLIED SORTS</t>
  </si>
  <si>
    <t>PIVOT &amp; GROUPING</t>
  </si>
  <si>
    <t>PIVOT COLUMNS</t>
  </si>
  <si>
    <t>PIVOT MODE</t>
  </si>
  <si>
    <t>Off</t>
  </si>
  <si>
    <t>ROW GROUPS</t>
  </si>
  <si>
    <t>VALUE COLUMNS</t>
  </si>
  <si>
    <t>WEB ADDRESS</t>
  </si>
  <si>
    <t>https://data.census.gov/table/DECENNIALCD1182020.P2</t>
  </si>
  <si>
    <t>TABLE NOTES</t>
  </si>
  <si>
    <t>Note: For information on data collection, confidentiality protection, nonsampling error, subject definitions, and guidance on using the data, visit the 2020 Census 118th Congressional District Summary File (CD118) Technical Documentation webpage.</t>
  </si>
  <si>
    <t>To protect respondent confidentiality, data have undergone disclosure avoidance methods which add "statistical noise" - small, random additions or subtractions - to the data so that no one can reliably link the published data to a specific person or household. The Census Bureau encourages data users to aggregate small populations and geographies to improve accuracy and diminish implausible results.</t>
  </si>
  <si>
    <t>Source: U.S. Census Bureau, 2020 Census 118th Congressional District Summary File (CD118)</t>
  </si>
  <si>
    <t>COLUMN NOTES</t>
  </si>
  <si>
    <t>Label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</si>
  <si>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</si>
  <si>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</si>
  <si>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</si>
  <si>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</si>
  <si>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</si>
  <si>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</si>
  <si>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</si>
  <si>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</si>
  <si>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</si>
  <si>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</si>
  <si>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</si>
  <si>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</si>
  <si>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</si>
  <si>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</si>
  <si>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</si>
  <si>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</si>
  <si>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</si>
  <si>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</si>
  <si>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</si>
  <si>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</si>
  <si>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</si>
  <si>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</si>
  <si>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</si>
  <si>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</si>
  <si>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</si>
  <si>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</si>
  <si>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</si>
  <si>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</si>
  <si>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</si>
  <si>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</si>
  <si>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</si>
  <si>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</si>
  <si>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</si>
  <si>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</si>
  <si>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</si>
  <si>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</si>
  <si>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</si>
  <si>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</si>
  <si>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</si>
  <si>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</si>
  <si>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</si>
  <si>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</si>
  <si>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</si>
  <si>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</si>
  <si>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</si>
  <si>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</si>
  <si>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</si>
  <si>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</si>
  <si>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</si>
  <si>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</si>
  <si>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</si>
  <si>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Total:</t>
  </si>
  <si>
    <t>Urban</t>
  </si>
  <si>
    <t>Rural</t>
  </si>
  <si>
    <t>0</t>
  </si>
  <si>
    <t>Not defined for this file</t>
  </si>
  <si>
    <t>Totals</t>
  </si>
  <si>
    <t>Percents</t>
  </si>
  <si>
    <t>State</t>
  </si>
  <si>
    <t>DC</t>
  </si>
  <si>
    <t>Region</t>
  </si>
  <si>
    <t>South</t>
  </si>
  <si>
    <t>West</t>
  </si>
  <si>
    <t>Northeast</t>
  </si>
  <si>
    <t>Midwest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</si>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</sst>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2" fillId="0" borderId="3" xfId="0" applyFont="1" applyBorder="1" applyAlignment="1">
      <alignment horizontal="left" vertical="center" wrapText="1" indent="1"/>
    </xf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 wrapText="1" shrinkToFit="1"/>
    </xf>
    <xf numFmtId="0" fontId="2" fillId="0" borderId="0" xfId="0" applyFont="1"/>
    <xf numFmtId="0" fontId="2" fillId="2" borderId="2" xfId="0" applyFont="1" applyFill="1" applyBorder="1" applyAlignment="1">
      <alignment horizontal="left" vertical="center" wrapText="1" indent="1"/>
    </xf>
    <xf numFmtId="2" fontId="0" fillId="2" borderId="0" xfId="0" applyNumberFormat="1" applyFill="1" applyAlignment="1">
      <alignment wrapText="1"/>
    </xf>
    <xf numFmtId="0" fontId="0" fillId="2" borderId="0" xfId="0" applyFill="1"/>
    <xf numFmtId="0" fontId="2" fillId="3" borderId="2" xfId="0" applyFont="1" applyFill="1" applyBorder="1" applyAlignment="1">
      <alignment horizontal="left" vertical="center" wrapText="1" indent="1"/>
    </xf>
    <xf numFmtId="2" fontId="0" fillId="3" borderId="0" xfId="0" applyNumberFormat="1" applyFill="1" applyAlignment="1">
      <alignment wrapText="1"/>
    </xf>
    <xf numFmtId="0" fontId="0" fillId="3" borderId="0" xfId="0" applyFill="1"/>
    <xf numFmtId="0" fontId="2" fillId="4" borderId="2" xfId="0" applyFont="1" applyFill="1" applyBorder="1" applyAlignment="1">
      <alignment horizontal="left" vertical="center" wrapText="1" indent="1"/>
    </xf>
    <xf numFmtId="2" fontId="0" fillId="4" borderId="0" xfId="0" applyNumberFormat="1" applyFill="1" applyAlignment="1">
      <alignment wrapText="1"/>
    </xf>
    <xf numFmtId="0" fontId="0" fillId="4" borderId="0" xfId="0" applyFill="1"/>
    <xf numFmtId="0" fontId="2" fillId="5" borderId="2" xfId="0" applyFont="1" applyFill="1" applyBorder="1" applyAlignment="1">
      <alignment horizontal="left" vertical="center" wrapText="1" indent="1"/>
    </xf>
    <xf numFmtId="2" fontId="0" fillId="5" borderId="0" xfId="0" applyNumberFormat="1" applyFill="1" applyAlignment="1">
      <alignment wrapText="1"/>
    </xf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data.census.gov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95999</xdr:colOff>
      <xdr:row>0</xdr:row>
      <xdr:rowOff>125999</xdr:rowOff>
    </xdr:from>
    <xdr:ext cx="1228725" cy="476250"/>
    <xdr:pic>
      <xdr:nvPicPr>
        <xdr:cNvPr id="2" name="Picture 1">
          <a:hlinkClick xmlns:r="http://schemas.openxmlformats.org/officeDocument/2006/relationships" r:id="rId1" tooltip="https://data.census.gov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8"/>
  <sheetViews>
    <sheetView workbookViewId="0">
      <selection sqref="A1:B1"/>
    </sheetView>
  </sheetViews>
  <sheetFormatPr baseColWidth="10" defaultColWidth="8.83203125" defaultRowHeight="15" x14ac:dyDescent="0.2"/>
  <cols>
    <col min="1" max="1" width="25" style="1" customWidth="1"/>
    <col min="2" max="2" width="80" style="1" customWidth="1"/>
    <col min="3" max="3" width="20" customWidth="1"/>
  </cols>
  <sheetData>
    <row r="1" spans="1:3" ht="80" customHeight="1" x14ac:dyDescent="0.2">
      <c r="A1" s="12" t="s">
        <v>0</v>
      </c>
      <c r="B1" s="12"/>
      <c r="C1" s="2"/>
    </row>
    <row r="2" spans="1:3" x14ac:dyDescent="0.2">
      <c r="A2" s="11"/>
      <c r="B2" s="11"/>
      <c r="C2" s="11"/>
    </row>
    <row r="3" spans="1:3" x14ac:dyDescent="0.2">
      <c r="A3" s="13" t="s">
        <v>1</v>
      </c>
      <c r="B3" s="13"/>
      <c r="C3" s="13"/>
    </row>
    <row r="4" spans="1:3" x14ac:dyDescent="0.2">
      <c r="A4" s="11"/>
      <c r="B4" s="11"/>
      <c r="C4" s="11"/>
    </row>
    <row r="5" spans="1:3" ht="21.25" customHeight="1" x14ac:dyDescent="0.2">
      <c r="A5" s="3" t="s">
        <v>2</v>
      </c>
      <c r="B5" s="11" t="s">
        <v>3</v>
      </c>
      <c r="C5" s="11"/>
    </row>
    <row r="6" spans="1:3" ht="21.25" customHeight="1" x14ac:dyDescent="0.2">
      <c r="A6" s="1" t="s">
        <v>4</v>
      </c>
      <c r="B6" s="11" t="s">
        <v>5</v>
      </c>
      <c r="C6" s="11"/>
    </row>
    <row r="7" spans="1:3" ht="21.25" customHeight="1" x14ac:dyDescent="0.2">
      <c r="A7" s="1" t="s">
        <v>6</v>
      </c>
      <c r="B7" s="11" t="s">
        <v>7</v>
      </c>
      <c r="C7" s="11"/>
    </row>
    <row r="8" spans="1:3" ht="21.25" customHeight="1" x14ac:dyDescent="0.2">
      <c r="A8" s="1" t="s">
        <v>8</v>
      </c>
      <c r="B8" s="11" t="s">
        <v>9</v>
      </c>
      <c r="C8" s="11"/>
    </row>
    <row r="9" spans="1:3" ht="21.25" customHeight="1" x14ac:dyDescent="0.2">
      <c r="A9" s="1" t="s">
        <v>10</v>
      </c>
      <c r="B9" s="11" t="s">
        <v>11</v>
      </c>
      <c r="C9" s="11"/>
    </row>
    <row r="10" spans="1:3" ht="21.25" customHeight="1" x14ac:dyDescent="0.2">
      <c r="A10" s="1" t="s">
        <v>12</v>
      </c>
      <c r="B10" s="11" t="s">
        <v>13</v>
      </c>
      <c r="C10" s="11"/>
    </row>
    <row r="11" spans="1:3" ht="21.25" customHeight="1" x14ac:dyDescent="0.2">
      <c r="A11" s="1" t="s">
        <v>14</v>
      </c>
      <c r="B11" s="11" t="s">
        <v>15</v>
      </c>
      <c r="C11" s="11"/>
    </row>
    <row r="12" spans="1:3" ht="64" customHeight="1" x14ac:dyDescent="0.2">
      <c r="A12" s="1" t="s">
        <v>16</v>
      </c>
      <c r="B12" s="11" t="s">
        <v>17</v>
      </c>
      <c r="C12" s="11"/>
    </row>
    <row r="13" spans="1:3" ht="42.75" customHeight="1" x14ac:dyDescent="0.2">
      <c r="A13" s="1" t="s">
        <v>18</v>
      </c>
      <c r="B13" s="11" t="s">
        <v>19</v>
      </c>
      <c r="C13" s="11"/>
    </row>
    <row r="14" spans="1:3" ht="21.25" customHeight="1" x14ac:dyDescent="0.2">
      <c r="A14" s="1" t="s">
        <v>20</v>
      </c>
      <c r="B14" s="11" t="s">
        <v>21</v>
      </c>
      <c r="C14" s="11"/>
    </row>
    <row r="15" spans="1:3" x14ac:dyDescent="0.2">
      <c r="A15" s="11"/>
      <c r="B15" s="11"/>
      <c r="C15" s="11"/>
    </row>
    <row r="16" spans="1:3" ht="21.25" customHeight="1" x14ac:dyDescent="0.2">
      <c r="A16" s="3" t="s">
        <v>22</v>
      </c>
      <c r="B16" s="11" t="s">
        <v>23</v>
      </c>
      <c r="C16" s="11"/>
    </row>
    <row r="17" spans="1:3" x14ac:dyDescent="0.2">
      <c r="A17" s="11"/>
      <c r="B17" s="11"/>
      <c r="C17" s="11"/>
    </row>
    <row r="18" spans="1:3" ht="21.25" customHeight="1" x14ac:dyDescent="0.2">
      <c r="A18" s="3" t="s">
        <v>24</v>
      </c>
      <c r="B18" s="11" t="s">
        <v>23</v>
      </c>
      <c r="C18" s="11"/>
    </row>
    <row r="19" spans="1:3" x14ac:dyDescent="0.2">
      <c r="A19" s="11"/>
      <c r="B19" s="11"/>
      <c r="C19" s="11"/>
    </row>
    <row r="20" spans="1:3" ht="21.25" customHeight="1" x14ac:dyDescent="0.2">
      <c r="A20" s="3" t="s">
        <v>25</v>
      </c>
      <c r="B20" s="11" t="s">
        <v>23</v>
      </c>
      <c r="C20" s="11"/>
    </row>
    <row r="21" spans="1:3" x14ac:dyDescent="0.2">
      <c r="A21" s="11"/>
      <c r="B21" s="11"/>
      <c r="C21" s="11"/>
    </row>
    <row r="22" spans="1:3" ht="21.25" customHeight="1" x14ac:dyDescent="0.2">
      <c r="A22" s="3" t="s">
        <v>26</v>
      </c>
      <c r="B22" s="11" t="s">
        <v>23</v>
      </c>
      <c r="C22" s="11"/>
    </row>
    <row r="23" spans="1:3" x14ac:dyDescent="0.2">
      <c r="A23" s="11"/>
      <c r="B23" s="11"/>
      <c r="C23" s="11"/>
    </row>
    <row r="24" spans="1:3" ht="21.25" customHeight="1" x14ac:dyDescent="0.2">
      <c r="A24" s="3" t="s">
        <v>27</v>
      </c>
      <c r="B24" s="11" t="s">
        <v>3</v>
      </c>
      <c r="C24" s="11"/>
    </row>
    <row r="25" spans="1:3" ht="21.25" customHeight="1" x14ac:dyDescent="0.2">
      <c r="A25" s="1" t="s">
        <v>28</v>
      </c>
      <c r="B25" s="11" t="s">
        <v>23</v>
      </c>
      <c r="C25" s="11"/>
    </row>
    <row r="26" spans="1:3" ht="21.25" customHeight="1" x14ac:dyDescent="0.2">
      <c r="A26" s="1" t="s">
        <v>29</v>
      </c>
      <c r="B26" s="11" t="s">
        <v>30</v>
      </c>
      <c r="C26" s="11"/>
    </row>
    <row r="27" spans="1:3" ht="21.25" customHeight="1" x14ac:dyDescent="0.2">
      <c r="A27" s="1" t="s">
        <v>31</v>
      </c>
      <c r="B27" s="11" t="s">
        <v>23</v>
      </c>
      <c r="C27" s="11"/>
    </row>
    <row r="28" spans="1:3" ht="21.25" customHeight="1" x14ac:dyDescent="0.2">
      <c r="A28" s="1" t="s">
        <v>32</v>
      </c>
      <c r="B28" s="11" t="s">
        <v>23</v>
      </c>
      <c r="C28" s="11"/>
    </row>
    <row r="29" spans="1:3" x14ac:dyDescent="0.2">
      <c r="A29" s="11"/>
      <c r="B29" s="11"/>
      <c r="C29" s="11"/>
    </row>
    <row r="30" spans="1:3" ht="21.25" customHeight="1" x14ac:dyDescent="0.2">
      <c r="A30" s="3" t="s">
        <v>33</v>
      </c>
      <c r="B30" s="11" t="s">
        <v>34</v>
      </c>
      <c r="C30" s="11"/>
    </row>
    <row r="31" spans="1:3" x14ac:dyDescent="0.2">
      <c r="A31" s="11"/>
      <c r="B31" s="11"/>
      <c r="C31" s="11"/>
    </row>
    <row r="32" spans="1:3" ht="21.25" customHeight="1" x14ac:dyDescent="0.2">
      <c r="A32" s="3" t="s">
        <v>35</v>
      </c>
      <c r="B32" s="11" t="s">
        <v>3</v>
      </c>
      <c r="C32" s="11"/>
    </row>
    <row r="33" spans="1:3" ht="64" customHeight="1" x14ac:dyDescent="0.2">
      <c r="A33" s="1" t="s">
        <v>3</v>
      </c>
      <c r="B33" s="11" t="s">
        <v>36</v>
      </c>
      <c r="C33" s="11"/>
    </row>
    <row r="34" spans="1:3" ht="85.25" customHeight="1" x14ac:dyDescent="0.2">
      <c r="A34" s="1" t="s">
        <v>3</v>
      </c>
      <c r="B34" s="11" t="s">
        <v>37</v>
      </c>
      <c r="C34" s="11"/>
    </row>
    <row r="35" spans="1:3" ht="42.75" customHeight="1" x14ac:dyDescent="0.2">
      <c r="A35" s="1" t="s">
        <v>3</v>
      </c>
      <c r="B35" s="11" t="s">
        <v>38</v>
      </c>
      <c r="C35" s="11"/>
    </row>
    <row r="36" spans="1:3" x14ac:dyDescent="0.2">
      <c r="A36" s="11"/>
      <c r="B36" s="11"/>
      <c r="C36" s="11"/>
    </row>
    <row r="37" spans="1:3" ht="21.25" customHeight="1" x14ac:dyDescent="0.2">
      <c r="A37" s="3" t="s">
        <v>39</v>
      </c>
      <c r="B37" s="11" t="s">
        <v>23</v>
      </c>
      <c r="C37" s="11"/>
    </row>
    <row r="38" spans="1:3" x14ac:dyDescent="0.2">
      <c r="A38" s="11"/>
      <c r="B38" s="11"/>
      <c r="C38" s="11"/>
    </row>
  </sheetData>
  <mergeCells count="38">
    <mergeCell ref="A1:B1"/>
    <mergeCell ref="A2:C2"/>
    <mergeCell ref="A3:C3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5:C15"/>
    <mergeCell ref="B16:C16"/>
    <mergeCell ref="A17:C17"/>
    <mergeCell ref="B18:C18"/>
    <mergeCell ref="A19:C19"/>
    <mergeCell ref="B20:C20"/>
    <mergeCell ref="A21:C21"/>
    <mergeCell ref="B22:C22"/>
    <mergeCell ref="A23:C23"/>
    <mergeCell ref="B24:C24"/>
    <mergeCell ref="B25:C25"/>
    <mergeCell ref="B26:C26"/>
    <mergeCell ref="B27:C27"/>
    <mergeCell ref="B28:C28"/>
    <mergeCell ref="A29:C29"/>
    <mergeCell ref="B30:C30"/>
    <mergeCell ref="A36:C36"/>
    <mergeCell ref="B37:C37"/>
    <mergeCell ref="A38:C38"/>
    <mergeCell ref="A31:C31"/>
    <mergeCell ref="B32:C32"/>
    <mergeCell ref="B33:C33"/>
    <mergeCell ref="B34:C34"/>
    <mergeCell ref="B35:C35"/>
  </mergeCells>
  <printOptions gridLines="1"/>
  <pageMargins left="0.7" right="0.7" top="0.75" bottom="0.75" header="0.3" footer="0.3"/>
  <pageSetup fitToHeight="0" orientation="landscape"/>
  <headerFooter>
    <oddHeader>&amp;LTable: DECENNIALCD1182020.P2</oddHeader>
    <oddFooter>&amp;L&amp;Bdata.census.gov&amp;B | Measuring America's People, Places, and Economy &amp;R&amp;P</oddFooter>
    <evenHeader>&amp;LTable: DECENNIALCD1182020.P2</evenHeader>
    <evenFooter>&amp;L&amp;Bdata.census.gov&amp;B | Measuring America's People, Places, and Economy &amp;R&amp;P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8"/>
  <sheetViews>
    <sheetView workbookViewId="0">
      <pane xSplit="1" ySplit="1" topLeftCell="BB2" activePane="bottomRight" state="frozen"/>
      <selection pane="topRight"/>
      <selection pane="bottomLeft"/>
      <selection pane="bottomRight" activeCell="BB1" sqref="A1:BB5"/>
    </sheetView>
  </sheetViews>
  <sheetFormatPr baseColWidth="10" defaultColWidth="8.83203125" defaultRowHeight="15" x14ac:dyDescent="0.2"/>
  <cols>
    <col min="1" max="1" width="30" style="4" customWidth="1"/>
    <col min="2" max="52" width="20" style="4" customWidth="1"/>
    <col min="53" max="53" width="12.6640625" bestFit="1" customWidth="1"/>
  </cols>
  <sheetData>
    <row r="1" spans="1:54" ht="30" customHeight="1" x14ac:dyDescent="0.2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  <c r="AH1" s="5" t="s">
        <v>73</v>
      </c>
      <c r="AI1" s="5" t="s">
        <v>74</v>
      </c>
      <c r="AJ1" s="5" t="s">
        <v>75</v>
      </c>
      <c r="AK1" s="5" t="s">
        <v>76</v>
      </c>
      <c r="AL1" s="5" t="s">
        <v>77</v>
      </c>
      <c r="AM1" s="5" t="s">
        <v>78</v>
      </c>
      <c r="AN1" s="5" t="s">
        <v>79</v>
      </c>
      <c r="AO1" s="5" t="s">
        <v>80</v>
      </c>
      <c r="AP1" s="5" t="s">
        <v>81</v>
      </c>
      <c r="AQ1" s="5" t="s">
        <v>82</v>
      </c>
      <c r="AR1" s="5" t="s">
        <v>83</v>
      </c>
      <c r="AS1" s="5" t="s">
        <v>84</v>
      </c>
      <c r="AT1" s="5" t="s">
        <v>85</v>
      </c>
      <c r="AU1" s="5" t="s">
        <v>86</v>
      </c>
      <c r="AV1" s="5" t="s">
        <v>87</v>
      </c>
      <c r="AW1" s="5" t="s">
        <v>88</v>
      </c>
      <c r="AX1" s="5" t="s">
        <v>89</v>
      </c>
      <c r="AY1" s="5" t="s">
        <v>90</v>
      </c>
      <c r="AZ1" s="5" t="s">
        <v>91</v>
      </c>
      <c r="BA1" s="7" t="s">
        <v>97</v>
      </c>
      <c r="BB1" s="7" t="s">
        <v>98</v>
      </c>
    </row>
    <row r="2" spans="1:54" ht="16" x14ac:dyDescent="0.2">
      <c r="A2" s="4" t="s">
        <v>92</v>
      </c>
      <c r="B2" s="8">
        <v>5024279</v>
      </c>
      <c r="C2" s="8">
        <v>733391</v>
      </c>
      <c r="D2" s="8">
        <v>7151502</v>
      </c>
      <c r="E2" s="8">
        <v>3011524</v>
      </c>
      <c r="F2" s="8">
        <v>39538223</v>
      </c>
      <c r="G2" s="8">
        <v>5773714</v>
      </c>
      <c r="H2" s="8">
        <v>3605944</v>
      </c>
      <c r="I2" s="8">
        <v>989948</v>
      </c>
      <c r="J2" s="8">
        <v>689545</v>
      </c>
      <c r="K2" s="8">
        <v>21538187</v>
      </c>
      <c r="L2" s="8">
        <v>10711908</v>
      </c>
      <c r="M2" s="8">
        <v>1455271</v>
      </c>
      <c r="N2" s="8">
        <v>1839106</v>
      </c>
      <c r="O2" s="8">
        <v>12812508</v>
      </c>
      <c r="P2" s="8">
        <v>6785528</v>
      </c>
      <c r="Q2" s="8">
        <v>3190369</v>
      </c>
      <c r="R2" s="8">
        <v>2937880</v>
      </c>
      <c r="S2" s="8">
        <v>4505836</v>
      </c>
      <c r="T2" s="8">
        <v>4657757</v>
      </c>
      <c r="U2" s="8">
        <v>1362359</v>
      </c>
      <c r="V2" s="8">
        <v>6177224</v>
      </c>
      <c r="W2" s="8">
        <v>7029917</v>
      </c>
      <c r="X2" s="8">
        <v>10077331</v>
      </c>
      <c r="Y2" s="8">
        <v>5706494</v>
      </c>
      <c r="Z2" s="8">
        <v>2961279</v>
      </c>
      <c r="AA2" s="8">
        <v>6154913</v>
      </c>
      <c r="AB2" s="8">
        <v>1084225</v>
      </c>
      <c r="AC2" s="8">
        <v>1961504</v>
      </c>
      <c r="AD2" s="8">
        <v>3104614</v>
      </c>
      <c r="AE2" s="8">
        <v>1377529</v>
      </c>
      <c r="AF2" s="8">
        <v>9288994</v>
      </c>
      <c r="AG2" s="8">
        <v>2117522</v>
      </c>
      <c r="AH2" s="8">
        <v>20201249</v>
      </c>
      <c r="AI2" s="8">
        <v>10439388</v>
      </c>
      <c r="AJ2" s="8">
        <v>779094</v>
      </c>
      <c r="AK2" s="8">
        <v>11799448</v>
      </c>
      <c r="AL2" s="8">
        <v>3959353</v>
      </c>
      <c r="AM2" s="8">
        <v>4237256</v>
      </c>
      <c r="AN2" s="8">
        <v>13002700</v>
      </c>
      <c r="AO2" s="8">
        <v>1097379</v>
      </c>
      <c r="AP2" s="8">
        <v>5118425</v>
      </c>
      <c r="AQ2" s="8">
        <v>886667</v>
      </c>
      <c r="AR2" s="8">
        <v>6910840</v>
      </c>
      <c r="AS2" s="8">
        <v>29145505</v>
      </c>
      <c r="AT2" s="8">
        <v>3271616</v>
      </c>
      <c r="AU2" s="8">
        <v>643077</v>
      </c>
      <c r="AV2" s="8">
        <v>8631393</v>
      </c>
      <c r="AW2" s="8">
        <v>7705281</v>
      </c>
      <c r="AX2" s="8">
        <v>1793716</v>
      </c>
      <c r="AY2" s="8">
        <v>5893718</v>
      </c>
      <c r="AZ2" s="8">
        <v>576851</v>
      </c>
      <c r="BA2" s="9">
        <f>SUM(B2:AZ2)</f>
        <v>331449281</v>
      </c>
      <c r="BB2">
        <f>BA2/$BA$2</f>
        <v>1</v>
      </c>
    </row>
    <row r="3" spans="1:54" ht="16" x14ac:dyDescent="0.2">
      <c r="A3" s="6" t="s">
        <v>93</v>
      </c>
      <c r="B3" s="8">
        <v>2900880</v>
      </c>
      <c r="C3" s="8">
        <v>475967</v>
      </c>
      <c r="D3" s="8">
        <v>6385230</v>
      </c>
      <c r="E3" s="8">
        <v>1670677</v>
      </c>
      <c r="F3" s="8">
        <v>37259490</v>
      </c>
      <c r="G3" s="8">
        <v>4966936</v>
      </c>
      <c r="H3" s="8">
        <v>3110153</v>
      </c>
      <c r="I3" s="8">
        <v>817817</v>
      </c>
      <c r="J3" s="8">
        <v>689545</v>
      </c>
      <c r="K3" s="8">
        <v>19714806</v>
      </c>
      <c r="L3" s="8">
        <v>7933986</v>
      </c>
      <c r="M3" s="8">
        <v>1252450</v>
      </c>
      <c r="N3" s="8">
        <v>1273437</v>
      </c>
      <c r="O3" s="8">
        <v>11137590</v>
      </c>
      <c r="P3" s="8">
        <v>4829686</v>
      </c>
      <c r="Q3" s="8">
        <v>2014831</v>
      </c>
      <c r="R3" s="8">
        <v>2124059</v>
      </c>
      <c r="S3" s="8">
        <v>2644856</v>
      </c>
      <c r="T3" s="8">
        <v>3332237</v>
      </c>
      <c r="U3" s="8">
        <v>526309</v>
      </c>
      <c r="V3" s="8">
        <v>5288760</v>
      </c>
      <c r="W3" s="8">
        <v>6416895</v>
      </c>
      <c r="X3" s="8">
        <v>7404258</v>
      </c>
      <c r="Y3" s="8">
        <v>4101754</v>
      </c>
      <c r="Z3" s="8">
        <v>1370790</v>
      </c>
      <c r="AA3" s="8">
        <v>4275663</v>
      </c>
      <c r="AB3" s="8">
        <v>579177</v>
      </c>
      <c r="AC3" s="8">
        <v>1432003</v>
      </c>
      <c r="AD3" s="8">
        <v>2921203</v>
      </c>
      <c r="AE3" s="8">
        <v>803420</v>
      </c>
      <c r="AF3" s="8">
        <v>8708779</v>
      </c>
      <c r="AG3" s="8">
        <v>1578552</v>
      </c>
      <c r="AH3" s="8">
        <v>17665166</v>
      </c>
      <c r="AI3" s="8">
        <v>6964727</v>
      </c>
      <c r="AJ3" s="8">
        <v>474989</v>
      </c>
      <c r="AK3" s="8">
        <v>9001099</v>
      </c>
      <c r="AL3" s="8">
        <v>2558611</v>
      </c>
      <c r="AM3" s="8">
        <v>3410984</v>
      </c>
      <c r="AN3" s="8">
        <v>9941070</v>
      </c>
      <c r="AO3" s="8">
        <v>999191</v>
      </c>
      <c r="AP3" s="8">
        <v>3477869</v>
      </c>
      <c r="AQ3" s="8">
        <v>507347</v>
      </c>
      <c r="AR3" s="8">
        <v>4577282</v>
      </c>
      <c r="AS3" s="8">
        <v>24400697</v>
      </c>
      <c r="AT3" s="8">
        <v>2937303</v>
      </c>
      <c r="AU3" s="8">
        <v>225850</v>
      </c>
      <c r="AV3" s="8">
        <v>6528313</v>
      </c>
      <c r="AW3" s="8">
        <v>6424035</v>
      </c>
      <c r="AX3" s="8">
        <v>800857</v>
      </c>
      <c r="AY3" s="8">
        <v>3953691</v>
      </c>
      <c r="AZ3" s="8">
        <v>357750</v>
      </c>
      <c r="BA3" s="9">
        <f t="shared" ref="BA3:BA5" si="0">SUM(B3:AZ3)</f>
        <v>265149027</v>
      </c>
      <c r="BB3" s="10">
        <f t="shared" ref="BB3:BB4" si="1">BA3/$BA$2</f>
        <v>0.79996862928780954</v>
      </c>
    </row>
    <row r="4" spans="1:54" ht="16" x14ac:dyDescent="0.2">
      <c r="A4" s="6" t="s">
        <v>94</v>
      </c>
      <c r="B4" s="8">
        <v>2123399</v>
      </c>
      <c r="C4" s="8">
        <v>257424</v>
      </c>
      <c r="D4" s="8">
        <v>766272</v>
      </c>
      <c r="E4" s="8">
        <v>1340847</v>
      </c>
      <c r="F4" s="8">
        <v>2278733</v>
      </c>
      <c r="G4" s="8">
        <v>806778</v>
      </c>
      <c r="H4" s="8">
        <v>495791</v>
      </c>
      <c r="I4" s="8">
        <v>172131</v>
      </c>
      <c r="J4" s="8" t="s">
        <v>95</v>
      </c>
      <c r="K4" s="8">
        <v>1823381</v>
      </c>
      <c r="L4" s="8">
        <v>2777922</v>
      </c>
      <c r="M4" s="8">
        <v>202821</v>
      </c>
      <c r="N4" s="8">
        <v>565669</v>
      </c>
      <c r="O4" s="8">
        <v>1674918</v>
      </c>
      <c r="P4" s="8">
        <v>1955842</v>
      </c>
      <c r="Q4" s="8">
        <v>1175538</v>
      </c>
      <c r="R4" s="8">
        <v>813821</v>
      </c>
      <c r="S4" s="8">
        <v>1860980</v>
      </c>
      <c r="T4" s="8">
        <v>1325520</v>
      </c>
      <c r="U4" s="8">
        <v>836050</v>
      </c>
      <c r="V4" s="8">
        <v>888464</v>
      </c>
      <c r="W4" s="8">
        <v>613022</v>
      </c>
      <c r="X4" s="8">
        <v>2673073</v>
      </c>
      <c r="Y4" s="8">
        <v>1604740</v>
      </c>
      <c r="Z4" s="8">
        <v>1590489</v>
      </c>
      <c r="AA4" s="8">
        <v>1879250</v>
      </c>
      <c r="AB4" s="8">
        <v>505048</v>
      </c>
      <c r="AC4" s="8">
        <v>529501</v>
      </c>
      <c r="AD4" s="8">
        <v>183411</v>
      </c>
      <c r="AE4" s="8">
        <v>574109</v>
      </c>
      <c r="AF4" s="8">
        <v>580215</v>
      </c>
      <c r="AG4" s="8">
        <v>538970</v>
      </c>
      <c r="AH4" s="8">
        <v>2536083</v>
      </c>
      <c r="AI4" s="8">
        <v>3474661</v>
      </c>
      <c r="AJ4" s="8">
        <v>304105</v>
      </c>
      <c r="AK4" s="8">
        <v>2798349</v>
      </c>
      <c r="AL4" s="8">
        <v>1400742</v>
      </c>
      <c r="AM4" s="8">
        <v>826272</v>
      </c>
      <c r="AN4" s="8">
        <v>3061630</v>
      </c>
      <c r="AO4" s="8">
        <v>98188</v>
      </c>
      <c r="AP4" s="8">
        <v>1640556</v>
      </c>
      <c r="AQ4" s="8">
        <v>379320</v>
      </c>
      <c r="AR4" s="8">
        <v>2333558</v>
      </c>
      <c r="AS4" s="8">
        <v>4744808</v>
      </c>
      <c r="AT4" s="8">
        <v>334313</v>
      </c>
      <c r="AU4" s="8">
        <v>417227</v>
      </c>
      <c r="AV4" s="8">
        <v>2103080</v>
      </c>
      <c r="AW4" s="8">
        <v>1281246</v>
      </c>
      <c r="AX4" s="8">
        <v>992859</v>
      </c>
      <c r="AY4" s="8">
        <v>1940027</v>
      </c>
      <c r="AZ4" s="8">
        <v>219101</v>
      </c>
      <c r="BA4" s="9">
        <f t="shared" si="0"/>
        <v>66300254</v>
      </c>
      <c r="BB4" s="10">
        <f t="shared" si="1"/>
        <v>0.20003137071219051</v>
      </c>
    </row>
    <row r="5" spans="1:54" ht="16" x14ac:dyDescent="0.2">
      <c r="A5" s="6" t="s">
        <v>96</v>
      </c>
      <c r="B5" s="8" t="s">
        <v>95</v>
      </c>
      <c r="C5" s="8" t="s">
        <v>95</v>
      </c>
      <c r="D5" s="8" t="s">
        <v>95</v>
      </c>
      <c r="E5" s="8" t="s">
        <v>95</v>
      </c>
      <c r="F5" s="8" t="s">
        <v>95</v>
      </c>
      <c r="G5" s="8" t="s">
        <v>95</v>
      </c>
      <c r="H5" s="8" t="s">
        <v>95</v>
      </c>
      <c r="I5" s="8" t="s">
        <v>95</v>
      </c>
      <c r="J5" s="8" t="s">
        <v>95</v>
      </c>
      <c r="K5" s="8" t="s">
        <v>95</v>
      </c>
      <c r="L5" s="8" t="s">
        <v>95</v>
      </c>
      <c r="M5" s="8" t="s">
        <v>95</v>
      </c>
      <c r="N5" s="8" t="s">
        <v>95</v>
      </c>
      <c r="O5" s="8" t="s">
        <v>95</v>
      </c>
      <c r="P5" s="8" t="s">
        <v>95</v>
      </c>
      <c r="Q5" s="8" t="s">
        <v>95</v>
      </c>
      <c r="R5" s="8" t="s">
        <v>95</v>
      </c>
      <c r="S5" s="8" t="s">
        <v>95</v>
      </c>
      <c r="T5" s="8" t="s">
        <v>95</v>
      </c>
      <c r="U5" s="8" t="s">
        <v>95</v>
      </c>
      <c r="V5" s="8" t="s">
        <v>95</v>
      </c>
      <c r="W5" s="8" t="s">
        <v>95</v>
      </c>
      <c r="X5" s="8" t="s">
        <v>95</v>
      </c>
      <c r="Y5" s="8" t="s">
        <v>95</v>
      </c>
      <c r="Z5" s="8" t="s">
        <v>95</v>
      </c>
      <c r="AA5" s="8" t="s">
        <v>95</v>
      </c>
      <c r="AB5" s="8" t="s">
        <v>95</v>
      </c>
      <c r="AC5" s="8" t="s">
        <v>95</v>
      </c>
      <c r="AD5" s="8" t="s">
        <v>95</v>
      </c>
      <c r="AE5" s="8" t="s">
        <v>95</v>
      </c>
      <c r="AF5" s="8" t="s">
        <v>95</v>
      </c>
      <c r="AG5" s="8" t="s">
        <v>95</v>
      </c>
      <c r="AH5" s="8" t="s">
        <v>95</v>
      </c>
      <c r="AI5" s="8" t="s">
        <v>95</v>
      </c>
      <c r="AJ5" s="8" t="s">
        <v>95</v>
      </c>
      <c r="AK5" s="8" t="s">
        <v>95</v>
      </c>
      <c r="AL5" s="8" t="s">
        <v>95</v>
      </c>
      <c r="AM5" s="8" t="s">
        <v>95</v>
      </c>
      <c r="AN5" s="8" t="s">
        <v>95</v>
      </c>
      <c r="AO5" s="8" t="s">
        <v>95</v>
      </c>
      <c r="AP5" s="8" t="s">
        <v>95</v>
      </c>
      <c r="AQ5" s="8" t="s">
        <v>95</v>
      </c>
      <c r="AR5" s="8" t="s">
        <v>95</v>
      </c>
      <c r="AS5" s="8" t="s">
        <v>95</v>
      </c>
      <c r="AT5" s="8" t="s">
        <v>95</v>
      </c>
      <c r="AU5" s="8" t="s">
        <v>95</v>
      </c>
      <c r="AV5" s="8" t="s">
        <v>95</v>
      </c>
      <c r="AW5" s="8" t="s">
        <v>95</v>
      </c>
      <c r="AX5" s="8" t="s">
        <v>95</v>
      </c>
      <c r="AY5" s="8" t="s">
        <v>95</v>
      </c>
      <c r="AZ5" s="8" t="s">
        <v>95</v>
      </c>
      <c r="BA5" s="9">
        <f t="shared" si="0"/>
        <v>0</v>
      </c>
    </row>
    <row r="8" spans="1:54" x14ac:dyDescent="0.2">
      <c r="G8" s="8"/>
    </row>
  </sheetData>
  <printOptions gridLines="1"/>
  <pageMargins left="0.7" right="0.7" top="0.75" bottom="0.75" header="0.3" footer="0.3"/>
  <pageSetup pageOrder="overThenDown" orientation="landscape"/>
  <headerFooter>
    <oddHeader>&amp;LTable: DECENNIALCD1182020.P2</oddHeader>
    <oddFooter>&amp;L&amp;Bdata.census.gov&amp;B | Measuring America's People, Places, and Economy &amp;R&amp;P</oddFooter>
    <evenHeader>&amp;LTable: DECENNIALCD1182020.P2</evenHeader>
    <evenFooter>&amp;L&amp;Bdata.census.gov&amp;B | Measuring America's People, Places, and Economy &amp;R&amp;P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DB0F-17ED-8F49-B5CC-F4D610025A66}">
  <dimension ref="A1:L54"/>
  <sheetViews>
    <sheetView tabSelected="1" workbookViewId="0">
      <selection activeCell="L20" sqref="L20"/>
    </sheetView>
  </sheetViews>
  <sheetFormatPr baseColWidth="10" defaultRowHeight="15" x14ac:dyDescent="0.2"/>
  <cols>
    <col min="1" max="1" width="16.1640625" customWidth="1"/>
    <col min="2" max="2" width="13.33203125" customWidth="1"/>
    <col min="3" max="3" width="15" customWidth="1"/>
    <col min="4" max="4" width="11.6640625" bestFit="1" customWidth="1"/>
    <col min="11" max="11" width="12.6640625" bestFit="1" customWidth="1"/>
  </cols>
  <sheetData>
    <row r="1" spans="1:12" ht="16" x14ac:dyDescent="0.2">
      <c r="A1" s="5" t="s">
        <v>99</v>
      </c>
      <c r="B1" s="4" t="s">
        <v>92</v>
      </c>
      <c r="C1" s="6" t="s">
        <v>93</v>
      </c>
      <c r="D1" s="6" t="s">
        <v>94</v>
      </c>
      <c r="E1" t="s">
        <v>101</v>
      </c>
    </row>
    <row r="2" spans="1:12" ht="16" x14ac:dyDescent="0.2">
      <c r="A2" s="14" t="s">
        <v>54</v>
      </c>
      <c r="B2" s="15">
        <v>12812508</v>
      </c>
      <c r="C2" s="15">
        <v>11137590</v>
      </c>
      <c r="D2" s="15">
        <v>1674918</v>
      </c>
      <c r="E2" s="16" t="s">
        <v>105</v>
      </c>
      <c r="J2" t="s">
        <v>106</v>
      </c>
      <c r="K2">
        <v>331449281</v>
      </c>
    </row>
    <row r="3" spans="1:12" ht="16" x14ac:dyDescent="0.2">
      <c r="A3" s="14" t="s">
        <v>55</v>
      </c>
      <c r="B3" s="15">
        <v>6785528</v>
      </c>
      <c r="C3" s="15">
        <v>4829686</v>
      </c>
      <c r="D3" s="15">
        <v>1955842</v>
      </c>
      <c r="E3" s="16" t="s">
        <v>105</v>
      </c>
      <c r="J3" t="s">
        <v>105</v>
      </c>
      <c r="K3" s="9">
        <f>SUM(B2:B13)</f>
        <v>68985454</v>
      </c>
      <c r="L3">
        <f>K3/$K$2</f>
        <v>0.20813276104225431</v>
      </c>
    </row>
    <row r="4" spans="1:12" ht="16" x14ac:dyDescent="0.2">
      <c r="A4" s="14" t="s">
        <v>56</v>
      </c>
      <c r="B4" s="15">
        <v>3190369</v>
      </c>
      <c r="C4" s="15">
        <v>2014831</v>
      </c>
      <c r="D4" s="15">
        <v>1175538</v>
      </c>
      <c r="E4" s="16" t="s">
        <v>105</v>
      </c>
      <c r="J4" t="s">
        <v>104</v>
      </c>
      <c r="K4" s="9">
        <f>SUM(B14:B22)</f>
        <v>57609148</v>
      </c>
      <c r="L4">
        <f t="shared" ref="L4:L6" si="0">K4/$K$2</f>
        <v>0.17380984452942591</v>
      </c>
    </row>
    <row r="5" spans="1:12" ht="16" x14ac:dyDescent="0.2">
      <c r="A5" s="14" t="s">
        <v>57</v>
      </c>
      <c r="B5" s="15">
        <v>2937880</v>
      </c>
      <c r="C5" s="15">
        <v>2124059</v>
      </c>
      <c r="D5" s="15">
        <v>813821</v>
      </c>
      <c r="E5" s="16" t="s">
        <v>105</v>
      </c>
      <c r="J5" t="s">
        <v>102</v>
      </c>
      <c r="K5" s="9">
        <f>SUM(B23:B39)</f>
        <v>126266107</v>
      </c>
      <c r="L5">
        <f t="shared" si="0"/>
        <v>0.38095151879360994</v>
      </c>
    </row>
    <row r="6" spans="1:12" ht="16" x14ac:dyDescent="0.2">
      <c r="A6" s="14" t="s">
        <v>63</v>
      </c>
      <c r="B6" s="15">
        <v>10077331</v>
      </c>
      <c r="C6" s="15">
        <v>7404258</v>
      </c>
      <c r="D6" s="15">
        <v>2673073</v>
      </c>
      <c r="E6" s="16" t="s">
        <v>105</v>
      </c>
      <c r="J6" t="s">
        <v>103</v>
      </c>
      <c r="K6" s="9">
        <f>SUM(B40:B52)</f>
        <v>78588572</v>
      </c>
      <c r="L6">
        <f t="shared" si="0"/>
        <v>0.23710587563470986</v>
      </c>
    </row>
    <row r="7" spans="1:12" ht="16" x14ac:dyDescent="0.2">
      <c r="A7" s="14" t="s">
        <v>64</v>
      </c>
      <c r="B7" s="15">
        <v>5706494</v>
      </c>
      <c r="C7" s="15">
        <v>4101754</v>
      </c>
      <c r="D7" s="15">
        <v>1604740</v>
      </c>
      <c r="E7" s="16" t="s">
        <v>105</v>
      </c>
    </row>
    <row r="8" spans="1:12" ht="16" x14ac:dyDescent="0.2">
      <c r="A8" s="14" t="s">
        <v>66</v>
      </c>
      <c r="B8" s="15">
        <v>6154913</v>
      </c>
      <c r="C8" s="15">
        <v>4275663</v>
      </c>
      <c r="D8" s="15">
        <v>1879250</v>
      </c>
      <c r="E8" s="16" t="s">
        <v>105</v>
      </c>
    </row>
    <row r="9" spans="1:12" ht="16" x14ac:dyDescent="0.2">
      <c r="A9" s="14" t="s">
        <v>68</v>
      </c>
      <c r="B9" s="15">
        <v>1961504</v>
      </c>
      <c r="C9" s="15">
        <v>1432003</v>
      </c>
      <c r="D9" s="15">
        <v>529501</v>
      </c>
      <c r="E9" s="16" t="s">
        <v>105</v>
      </c>
    </row>
    <row r="10" spans="1:12" ht="16" x14ac:dyDescent="0.2">
      <c r="A10" s="14" t="s">
        <v>75</v>
      </c>
      <c r="B10" s="15">
        <v>779094</v>
      </c>
      <c r="C10" s="15">
        <v>474989</v>
      </c>
      <c r="D10" s="15">
        <v>304105</v>
      </c>
      <c r="E10" s="16" t="s">
        <v>105</v>
      </c>
    </row>
    <row r="11" spans="1:12" ht="16" x14ac:dyDescent="0.2">
      <c r="A11" s="14" t="s">
        <v>76</v>
      </c>
      <c r="B11" s="15">
        <v>11799448</v>
      </c>
      <c r="C11" s="15">
        <v>9001099</v>
      </c>
      <c r="D11" s="15">
        <v>2798349</v>
      </c>
      <c r="E11" s="16" t="s">
        <v>105</v>
      </c>
    </row>
    <row r="12" spans="1:12" ht="16" x14ac:dyDescent="0.2">
      <c r="A12" s="14" t="s">
        <v>82</v>
      </c>
      <c r="B12" s="15">
        <v>886667</v>
      </c>
      <c r="C12" s="15">
        <v>507347</v>
      </c>
      <c r="D12" s="15">
        <v>379320</v>
      </c>
      <c r="E12" s="16" t="s">
        <v>105</v>
      </c>
    </row>
    <row r="13" spans="1:12" ht="16" x14ac:dyDescent="0.2">
      <c r="A13" s="14" t="s">
        <v>90</v>
      </c>
      <c r="B13" s="15">
        <v>5893718</v>
      </c>
      <c r="C13" s="15">
        <v>3953691</v>
      </c>
      <c r="D13" s="15">
        <v>1940027</v>
      </c>
      <c r="E13" s="16" t="s">
        <v>105</v>
      </c>
    </row>
    <row r="14" spans="1:12" ht="16" x14ac:dyDescent="0.2">
      <c r="A14" s="17" t="s">
        <v>47</v>
      </c>
      <c r="B14" s="18">
        <v>3605944</v>
      </c>
      <c r="C14" s="18">
        <v>3110153</v>
      </c>
      <c r="D14" s="18">
        <v>495791</v>
      </c>
      <c r="E14" s="19" t="s">
        <v>104</v>
      </c>
    </row>
    <row r="15" spans="1:12" ht="16" x14ac:dyDescent="0.2">
      <c r="A15" s="17" t="s">
        <v>60</v>
      </c>
      <c r="B15" s="18">
        <v>1362359</v>
      </c>
      <c r="C15" s="18">
        <v>526309</v>
      </c>
      <c r="D15" s="18">
        <v>836050</v>
      </c>
      <c r="E15" s="19" t="s">
        <v>104</v>
      </c>
    </row>
    <row r="16" spans="1:12" ht="16" x14ac:dyDescent="0.2">
      <c r="A16" s="17" t="s">
        <v>62</v>
      </c>
      <c r="B16" s="18">
        <v>7029917</v>
      </c>
      <c r="C16" s="18">
        <v>6416895</v>
      </c>
      <c r="D16" s="18">
        <v>613022</v>
      </c>
      <c r="E16" s="19" t="s">
        <v>104</v>
      </c>
    </row>
    <row r="17" spans="1:5" ht="16" x14ac:dyDescent="0.2">
      <c r="A17" s="17" t="s">
        <v>70</v>
      </c>
      <c r="B17" s="18">
        <v>1377529</v>
      </c>
      <c r="C17" s="18">
        <v>803420</v>
      </c>
      <c r="D17" s="18">
        <v>574109</v>
      </c>
      <c r="E17" s="19" t="s">
        <v>104</v>
      </c>
    </row>
    <row r="18" spans="1:5" ht="16" x14ac:dyDescent="0.2">
      <c r="A18" s="17" t="s">
        <v>71</v>
      </c>
      <c r="B18" s="18">
        <v>9288994</v>
      </c>
      <c r="C18" s="18">
        <v>8708779</v>
      </c>
      <c r="D18" s="18">
        <v>580215</v>
      </c>
      <c r="E18" s="19" t="s">
        <v>104</v>
      </c>
    </row>
    <row r="19" spans="1:5" ht="16" x14ac:dyDescent="0.2">
      <c r="A19" s="17" t="s">
        <v>73</v>
      </c>
      <c r="B19" s="18">
        <v>20201249</v>
      </c>
      <c r="C19" s="18">
        <v>17665166</v>
      </c>
      <c r="D19" s="18">
        <v>2536083</v>
      </c>
      <c r="E19" s="19" t="s">
        <v>104</v>
      </c>
    </row>
    <row r="20" spans="1:5" ht="16" x14ac:dyDescent="0.2">
      <c r="A20" s="17" t="s">
        <v>79</v>
      </c>
      <c r="B20" s="18">
        <v>13002700</v>
      </c>
      <c r="C20" s="18">
        <v>9941070</v>
      </c>
      <c r="D20" s="18">
        <v>3061630</v>
      </c>
      <c r="E20" s="19" t="s">
        <v>104</v>
      </c>
    </row>
    <row r="21" spans="1:5" ht="16" x14ac:dyDescent="0.2">
      <c r="A21" s="17" t="s">
        <v>80</v>
      </c>
      <c r="B21" s="18">
        <v>1097379</v>
      </c>
      <c r="C21" s="18">
        <v>999191</v>
      </c>
      <c r="D21" s="18">
        <v>98188</v>
      </c>
      <c r="E21" s="19" t="s">
        <v>104</v>
      </c>
    </row>
    <row r="22" spans="1:5" ht="16" x14ac:dyDescent="0.2">
      <c r="A22" s="17" t="s">
        <v>86</v>
      </c>
      <c r="B22" s="18">
        <v>643077</v>
      </c>
      <c r="C22" s="18">
        <v>225850</v>
      </c>
      <c r="D22" s="18">
        <v>417227</v>
      </c>
      <c r="E22" s="19" t="s">
        <v>104</v>
      </c>
    </row>
    <row r="23" spans="1:5" ht="16" x14ac:dyDescent="0.2">
      <c r="A23" s="20" t="s">
        <v>41</v>
      </c>
      <c r="B23" s="21">
        <v>5024279</v>
      </c>
      <c r="C23" s="21">
        <v>2900880</v>
      </c>
      <c r="D23" s="21">
        <v>2123399</v>
      </c>
      <c r="E23" s="22" t="s">
        <v>102</v>
      </c>
    </row>
    <row r="24" spans="1:5" ht="16" x14ac:dyDescent="0.2">
      <c r="A24" s="20" t="s">
        <v>44</v>
      </c>
      <c r="B24" s="21">
        <v>3011524</v>
      </c>
      <c r="C24" s="21">
        <v>1670677</v>
      </c>
      <c r="D24" s="21">
        <v>1340847</v>
      </c>
      <c r="E24" s="22" t="s">
        <v>102</v>
      </c>
    </row>
    <row r="25" spans="1:5" ht="16" x14ac:dyDescent="0.2">
      <c r="A25" s="20" t="s">
        <v>48</v>
      </c>
      <c r="B25" s="21">
        <v>989948</v>
      </c>
      <c r="C25" s="21">
        <v>817817</v>
      </c>
      <c r="D25" s="21">
        <v>172131</v>
      </c>
      <c r="E25" s="22" t="s">
        <v>102</v>
      </c>
    </row>
    <row r="26" spans="1:5" ht="16" x14ac:dyDescent="0.2">
      <c r="A26" s="20" t="s">
        <v>100</v>
      </c>
      <c r="B26" s="21">
        <v>689545</v>
      </c>
      <c r="C26" s="21">
        <v>689545</v>
      </c>
      <c r="D26" s="21" t="s">
        <v>95</v>
      </c>
      <c r="E26" s="22" t="s">
        <v>102</v>
      </c>
    </row>
    <row r="27" spans="1:5" ht="16" x14ac:dyDescent="0.2">
      <c r="A27" s="20" t="s">
        <v>50</v>
      </c>
      <c r="B27" s="21">
        <v>21538187</v>
      </c>
      <c r="C27" s="21">
        <v>19714806</v>
      </c>
      <c r="D27" s="21">
        <v>1823381</v>
      </c>
      <c r="E27" s="22" t="s">
        <v>102</v>
      </c>
    </row>
    <row r="28" spans="1:5" ht="16" x14ac:dyDescent="0.2">
      <c r="A28" s="20" t="s">
        <v>51</v>
      </c>
      <c r="B28" s="21">
        <v>10711908</v>
      </c>
      <c r="C28" s="21">
        <v>7933986</v>
      </c>
      <c r="D28" s="21">
        <v>2777922</v>
      </c>
      <c r="E28" s="22" t="s">
        <v>102</v>
      </c>
    </row>
    <row r="29" spans="1:5" ht="16" x14ac:dyDescent="0.2">
      <c r="A29" s="20" t="s">
        <v>58</v>
      </c>
      <c r="B29" s="21">
        <v>4505836</v>
      </c>
      <c r="C29" s="21">
        <v>2644856</v>
      </c>
      <c r="D29" s="21">
        <v>1860980</v>
      </c>
      <c r="E29" s="22" t="s">
        <v>102</v>
      </c>
    </row>
    <row r="30" spans="1:5" ht="16" x14ac:dyDescent="0.2">
      <c r="A30" s="20" t="s">
        <v>59</v>
      </c>
      <c r="B30" s="21">
        <v>4657757</v>
      </c>
      <c r="C30" s="21">
        <v>3332237</v>
      </c>
      <c r="D30" s="21">
        <v>1325520</v>
      </c>
      <c r="E30" s="22" t="s">
        <v>102</v>
      </c>
    </row>
    <row r="31" spans="1:5" ht="16" x14ac:dyDescent="0.2">
      <c r="A31" s="20" t="s">
        <v>61</v>
      </c>
      <c r="B31" s="21">
        <v>6177224</v>
      </c>
      <c r="C31" s="21">
        <v>5288760</v>
      </c>
      <c r="D31" s="21">
        <v>888464</v>
      </c>
      <c r="E31" s="22" t="s">
        <v>102</v>
      </c>
    </row>
    <row r="32" spans="1:5" ht="16" x14ac:dyDescent="0.2">
      <c r="A32" s="20" t="s">
        <v>65</v>
      </c>
      <c r="B32" s="21">
        <v>2961279</v>
      </c>
      <c r="C32" s="21">
        <v>1370790</v>
      </c>
      <c r="D32" s="21">
        <v>1590489</v>
      </c>
      <c r="E32" s="22" t="s">
        <v>102</v>
      </c>
    </row>
    <row r="33" spans="1:5" ht="16" x14ac:dyDescent="0.2">
      <c r="A33" s="20" t="s">
        <v>74</v>
      </c>
      <c r="B33" s="21">
        <v>10439388</v>
      </c>
      <c r="C33" s="21">
        <v>6964727</v>
      </c>
      <c r="D33" s="21">
        <v>3474661</v>
      </c>
      <c r="E33" s="22" t="s">
        <v>102</v>
      </c>
    </row>
    <row r="34" spans="1:5" ht="16" x14ac:dyDescent="0.2">
      <c r="A34" s="20" t="s">
        <v>77</v>
      </c>
      <c r="B34" s="21">
        <v>3959353</v>
      </c>
      <c r="C34" s="21">
        <v>2558611</v>
      </c>
      <c r="D34" s="21">
        <v>1400742</v>
      </c>
      <c r="E34" s="22" t="s">
        <v>102</v>
      </c>
    </row>
    <row r="35" spans="1:5" ht="16" x14ac:dyDescent="0.2">
      <c r="A35" s="20" t="s">
        <v>81</v>
      </c>
      <c r="B35" s="21">
        <v>5118425</v>
      </c>
      <c r="C35" s="21">
        <v>3477869</v>
      </c>
      <c r="D35" s="21">
        <v>1640556</v>
      </c>
      <c r="E35" s="22" t="s">
        <v>102</v>
      </c>
    </row>
    <row r="36" spans="1:5" ht="16" x14ac:dyDescent="0.2">
      <c r="A36" s="20" t="s">
        <v>83</v>
      </c>
      <c r="B36" s="21">
        <v>6910840</v>
      </c>
      <c r="C36" s="21">
        <v>4577282</v>
      </c>
      <c r="D36" s="21">
        <v>2333558</v>
      </c>
      <c r="E36" s="22" t="s">
        <v>102</v>
      </c>
    </row>
    <row r="37" spans="1:5" ht="16" x14ac:dyDescent="0.2">
      <c r="A37" s="20" t="s">
        <v>84</v>
      </c>
      <c r="B37" s="21">
        <v>29145505</v>
      </c>
      <c r="C37" s="21">
        <v>24400697</v>
      </c>
      <c r="D37" s="21">
        <v>4744808</v>
      </c>
      <c r="E37" s="22" t="s">
        <v>102</v>
      </c>
    </row>
    <row r="38" spans="1:5" ht="16" x14ac:dyDescent="0.2">
      <c r="A38" s="20" t="s">
        <v>87</v>
      </c>
      <c r="B38" s="21">
        <v>8631393</v>
      </c>
      <c r="C38" s="21">
        <v>6528313</v>
      </c>
      <c r="D38" s="21">
        <v>2103080</v>
      </c>
      <c r="E38" s="22" t="s">
        <v>102</v>
      </c>
    </row>
    <row r="39" spans="1:5" ht="16" x14ac:dyDescent="0.2">
      <c r="A39" s="20" t="s">
        <v>89</v>
      </c>
      <c r="B39" s="21">
        <v>1793716</v>
      </c>
      <c r="C39" s="21">
        <v>800857</v>
      </c>
      <c r="D39" s="21">
        <v>992859</v>
      </c>
      <c r="E39" s="22" t="s">
        <v>102</v>
      </c>
    </row>
    <row r="40" spans="1:5" ht="16" x14ac:dyDescent="0.2">
      <c r="A40" s="23" t="s">
        <v>42</v>
      </c>
      <c r="B40" s="24">
        <v>733391</v>
      </c>
      <c r="C40" s="24">
        <v>475967</v>
      </c>
      <c r="D40" s="24">
        <v>257424</v>
      </c>
      <c r="E40" s="25" t="s">
        <v>103</v>
      </c>
    </row>
    <row r="41" spans="1:5" ht="16" x14ac:dyDescent="0.2">
      <c r="A41" s="23" t="s">
        <v>43</v>
      </c>
      <c r="B41" s="24">
        <v>7151502</v>
      </c>
      <c r="C41" s="24">
        <v>6385230</v>
      </c>
      <c r="D41" s="24">
        <v>766272</v>
      </c>
      <c r="E41" s="25" t="s">
        <v>103</v>
      </c>
    </row>
    <row r="42" spans="1:5" ht="16" x14ac:dyDescent="0.2">
      <c r="A42" s="23" t="s">
        <v>45</v>
      </c>
      <c r="B42" s="24">
        <v>39538223</v>
      </c>
      <c r="C42" s="24">
        <v>37259490</v>
      </c>
      <c r="D42" s="24">
        <v>2278733</v>
      </c>
      <c r="E42" s="25" t="s">
        <v>103</v>
      </c>
    </row>
    <row r="43" spans="1:5" ht="16" x14ac:dyDescent="0.2">
      <c r="A43" s="23" t="s">
        <v>46</v>
      </c>
      <c r="B43" s="24">
        <v>5773714</v>
      </c>
      <c r="C43" s="24">
        <v>4966936</v>
      </c>
      <c r="D43" s="24">
        <v>806778</v>
      </c>
      <c r="E43" s="25" t="s">
        <v>103</v>
      </c>
    </row>
    <row r="44" spans="1:5" ht="16" x14ac:dyDescent="0.2">
      <c r="A44" s="23" t="s">
        <v>52</v>
      </c>
      <c r="B44" s="24">
        <v>1455271</v>
      </c>
      <c r="C44" s="24">
        <v>1252450</v>
      </c>
      <c r="D44" s="24">
        <v>202821</v>
      </c>
      <c r="E44" s="25" t="s">
        <v>103</v>
      </c>
    </row>
    <row r="45" spans="1:5" ht="16" x14ac:dyDescent="0.2">
      <c r="A45" s="23" t="s">
        <v>53</v>
      </c>
      <c r="B45" s="24">
        <v>1839106</v>
      </c>
      <c r="C45" s="24">
        <v>1273437</v>
      </c>
      <c r="D45" s="24">
        <v>565669</v>
      </c>
      <c r="E45" s="25" t="s">
        <v>103</v>
      </c>
    </row>
    <row r="46" spans="1:5" ht="16" x14ac:dyDescent="0.2">
      <c r="A46" s="23" t="s">
        <v>67</v>
      </c>
      <c r="B46" s="24">
        <v>1084225</v>
      </c>
      <c r="C46" s="24">
        <v>579177</v>
      </c>
      <c r="D46" s="24">
        <v>505048</v>
      </c>
      <c r="E46" s="25" t="s">
        <v>103</v>
      </c>
    </row>
    <row r="47" spans="1:5" ht="16" x14ac:dyDescent="0.2">
      <c r="A47" s="23" t="s">
        <v>69</v>
      </c>
      <c r="B47" s="24">
        <v>3104614</v>
      </c>
      <c r="C47" s="24">
        <v>2921203</v>
      </c>
      <c r="D47" s="24">
        <v>183411</v>
      </c>
      <c r="E47" s="25" t="s">
        <v>103</v>
      </c>
    </row>
    <row r="48" spans="1:5" ht="16" x14ac:dyDescent="0.2">
      <c r="A48" s="23" t="s">
        <v>72</v>
      </c>
      <c r="B48" s="24">
        <v>2117522</v>
      </c>
      <c r="C48" s="24">
        <v>1578552</v>
      </c>
      <c r="D48" s="24">
        <v>538970</v>
      </c>
      <c r="E48" s="25" t="s">
        <v>103</v>
      </c>
    </row>
    <row r="49" spans="1:5" ht="16" x14ac:dyDescent="0.2">
      <c r="A49" s="23" t="s">
        <v>78</v>
      </c>
      <c r="B49" s="24">
        <v>4237256</v>
      </c>
      <c r="C49" s="24">
        <v>3410984</v>
      </c>
      <c r="D49" s="24">
        <v>826272</v>
      </c>
      <c r="E49" s="25" t="s">
        <v>103</v>
      </c>
    </row>
    <row r="50" spans="1:5" ht="16" x14ac:dyDescent="0.2">
      <c r="A50" s="23" t="s">
        <v>85</v>
      </c>
      <c r="B50" s="24">
        <v>3271616</v>
      </c>
      <c r="C50" s="24">
        <v>2937303</v>
      </c>
      <c r="D50" s="24">
        <v>334313</v>
      </c>
      <c r="E50" s="25" t="s">
        <v>103</v>
      </c>
    </row>
    <row r="51" spans="1:5" ht="16" x14ac:dyDescent="0.2">
      <c r="A51" s="23" t="s">
        <v>88</v>
      </c>
      <c r="B51" s="24">
        <v>7705281</v>
      </c>
      <c r="C51" s="24">
        <v>6424035</v>
      </c>
      <c r="D51" s="24">
        <v>1281246</v>
      </c>
      <c r="E51" s="25" t="s">
        <v>103</v>
      </c>
    </row>
    <row r="52" spans="1:5" ht="16" x14ac:dyDescent="0.2">
      <c r="A52" s="23" t="s">
        <v>91</v>
      </c>
      <c r="B52" s="24">
        <v>576851</v>
      </c>
      <c r="C52" s="24">
        <v>357750</v>
      </c>
      <c r="D52" s="24">
        <v>219101</v>
      </c>
      <c r="E52" s="25" t="s">
        <v>103</v>
      </c>
    </row>
    <row r="53" spans="1:5" ht="16" x14ac:dyDescent="0.2">
      <c r="A53" s="7" t="s">
        <v>97</v>
      </c>
      <c r="B53" s="9">
        <f>SUM(B2:B52)</f>
        <v>331449281</v>
      </c>
      <c r="C53" s="9">
        <f>SUM(C2:C52)</f>
        <v>265149027</v>
      </c>
      <c r="D53" s="9">
        <f>SUM(D2:D52)</f>
        <v>66300254</v>
      </c>
    </row>
    <row r="54" spans="1:5" ht="16" x14ac:dyDescent="0.2">
      <c r="A54" s="7" t="s">
        <v>98</v>
      </c>
      <c r="B54">
        <f>B53/$B$53</f>
        <v>1</v>
      </c>
      <c r="C54" s="10">
        <f>C53/$B$53</f>
        <v>0.79996862928780954</v>
      </c>
      <c r="D54" s="10">
        <f>D53/$B$53</f>
        <v>0.20003137071219051</v>
      </c>
    </row>
  </sheetData>
  <autoFilter ref="A1:E52" xr:uid="{2375DB0F-17ED-8F49-B5CC-F4D610025A66}">
    <sortState xmlns:xlrd2="http://schemas.microsoft.com/office/spreadsheetml/2017/richdata2" ref="A2:E54">
      <sortCondition ref="E1:E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Information</vt:lpstr>
      <vt:lpstr>Data</vt:lpstr>
      <vt:lpstr>Sheet1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2026-03-13T18:11:46Z</dcterms:created>
  <dcterms:modified xsi:type="dcterms:W3CDTF">2026-03-13T20:24:52Z</dcterms:modified>
</cp:coreProperties>
</file>